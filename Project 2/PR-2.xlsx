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6AC15097-1D52-4F70-B9D1-240257633976}" xr6:coauthVersionLast="47" xr6:coauthVersionMax="47" xr10:uidLastSave="{00000000-0000-0000-0000-000000000000}"/>
  <bookViews>
    <workbookView xWindow="-110" yWindow="-110" windowWidth="19420" windowHeight="10420" firstSheet="2" activeTab="7" xr2:uid="{00000000-000D-0000-FFFF-FFFF00000000}"/>
  </bookViews>
  <sheets>
    <sheet name="Dashboard" sheetId="9" r:id="rId1"/>
    <sheet name="CustomerSummary" sheetId="4" r:id="rId2"/>
    <sheet name="MonthlySales" sheetId="2" r:id="rId3"/>
    <sheet name="PivotTable" sheetId="3" r:id="rId4"/>
    <sheet name="WhatIf" sheetId="5" r:id="rId5"/>
    <sheet name="DescriptiveStats" sheetId="7" r:id="rId6"/>
    <sheet name="Regression" sheetId="8" r:id="rId7"/>
    <sheet name="DATA" sheetId="1" r:id="rId8"/>
  </sheets>
  <definedNames>
    <definedName name="_xlnm._FilterDatabase" localSheetId="1" hidden="1">CustomerSummary!$A$1:$G$89</definedName>
    <definedName name="Slicer_Region">#N/A</definedName>
  </definedNames>
  <calcPr calcId="181029"/>
  <pivotCaches>
    <pivotCache cacheId="17"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 i="4" l="1"/>
  <c r="J3" i="4"/>
  <c r="J4" i="4"/>
  <c r="J5" i="4"/>
  <c r="J6" i="4"/>
  <c r="J7" i="4"/>
  <c r="J8" i="4"/>
  <c r="J9" i="4"/>
  <c r="J10" i="4"/>
  <c r="J11" i="4"/>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F4" i="5"/>
  <c r="C4" i="5"/>
  <c r="C3" i="5"/>
  <c r="E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D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C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F89" i="4" l="1"/>
  <c r="G89" i="4" s="1"/>
  <c r="F73" i="4"/>
  <c r="G73" i="4" s="1"/>
  <c r="F81" i="4"/>
  <c r="G81" i="4" s="1"/>
  <c r="F69" i="4"/>
  <c r="G69" i="4" s="1"/>
  <c r="F53" i="4"/>
  <c r="G53" i="4" s="1"/>
  <c r="F41" i="4"/>
  <c r="G41" i="4" s="1"/>
  <c r="F37" i="4"/>
  <c r="G37" i="4" s="1"/>
  <c r="F33" i="4"/>
  <c r="G33" i="4" s="1"/>
  <c r="F29" i="4"/>
  <c r="G29" i="4" s="1"/>
  <c r="F25" i="4"/>
  <c r="G25" i="4" s="1"/>
  <c r="F21" i="4"/>
  <c r="G21" i="4" s="1"/>
  <c r="F13" i="4"/>
  <c r="G13" i="4" s="1"/>
  <c r="F5" i="4"/>
  <c r="G5" i="4" s="1"/>
  <c r="F88" i="4"/>
  <c r="G88" i="4" s="1"/>
  <c r="F80" i="4"/>
  <c r="G80" i="4" s="1"/>
  <c r="F72" i="4"/>
  <c r="G72" i="4" s="1"/>
  <c r="F64" i="4"/>
  <c r="G64" i="4" s="1"/>
  <c r="F56" i="4"/>
  <c r="G56" i="4" s="1"/>
  <c r="F44" i="4"/>
  <c r="G44" i="4" s="1"/>
  <c r="F36" i="4"/>
  <c r="G36" i="4" s="1"/>
  <c r="F24" i="4"/>
  <c r="G24" i="4" s="1"/>
  <c r="F16" i="4"/>
  <c r="G16" i="4" s="1"/>
  <c r="F8" i="4"/>
  <c r="G8" i="4" s="1"/>
  <c r="F87" i="4"/>
  <c r="G87" i="4" s="1"/>
  <c r="F75" i="4"/>
  <c r="G75" i="4" s="1"/>
  <c r="F71" i="4"/>
  <c r="G71" i="4" s="1"/>
  <c r="F63" i="4"/>
  <c r="G63" i="4" s="1"/>
  <c r="F51" i="4"/>
  <c r="G51" i="4" s="1"/>
  <c r="F43" i="4"/>
  <c r="G43" i="4" s="1"/>
  <c r="F39" i="4"/>
  <c r="G39" i="4" s="1"/>
  <c r="F31" i="4"/>
  <c r="G31" i="4" s="1"/>
  <c r="F23" i="4"/>
  <c r="G23" i="4" s="1"/>
  <c r="F15" i="4"/>
  <c r="G15" i="4" s="1"/>
  <c r="F11" i="4"/>
  <c r="G11" i="4" s="1"/>
  <c r="F7" i="4"/>
  <c r="G7" i="4" s="1"/>
  <c r="F3" i="4"/>
  <c r="G3" i="4" s="1"/>
  <c r="F85" i="4"/>
  <c r="G85" i="4" s="1"/>
  <c r="F77" i="4"/>
  <c r="G77" i="4" s="1"/>
  <c r="F65" i="4"/>
  <c r="G65" i="4" s="1"/>
  <c r="F61" i="4"/>
  <c r="G61" i="4" s="1"/>
  <c r="F57" i="4"/>
  <c r="G57" i="4" s="1"/>
  <c r="F49" i="4"/>
  <c r="G49" i="4" s="1"/>
  <c r="F45" i="4"/>
  <c r="G45" i="4" s="1"/>
  <c r="F17" i="4"/>
  <c r="G17" i="4" s="1"/>
  <c r="F9" i="4"/>
  <c r="G9" i="4" s="1"/>
  <c r="F84" i="4"/>
  <c r="G84" i="4" s="1"/>
  <c r="F76" i="4"/>
  <c r="G76" i="4" s="1"/>
  <c r="F68" i="4"/>
  <c r="G68" i="4" s="1"/>
  <c r="F60" i="4"/>
  <c r="G60" i="4" s="1"/>
  <c r="F52" i="4"/>
  <c r="G52" i="4" s="1"/>
  <c r="F48" i="4"/>
  <c r="G48" i="4" s="1"/>
  <c r="F40" i="4"/>
  <c r="G40" i="4" s="1"/>
  <c r="F32" i="4"/>
  <c r="G32" i="4" s="1"/>
  <c r="F28" i="4"/>
  <c r="G28" i="4" s="1"/>
  <c r="F20" i="4"/>
  <c r="G20" i="4" s="1"/>
  <c r="F12" i="4"/>
  <c r="G12" i="4" s="1"/>
  <c r="F4" i="4"/>
  <c r="G4" i="4" s="1"/>
  <c r="F83" i="4"/>
  <c r="G83" i="4" s="1"/>
  <c r="F79" i="4"/>
  <c r="G79" i="4" s="1"/>
  <c r="F67" i="4"/>
  <c r="G67" i="4" s="1"/>
  <c r="F59" i="4"/>
  <c r="G59" i="4" s="1"/>
  <c r="F55" i="4"/>
  <c r="G55" i="4" s="1"/>
  <c r="F47" i="4"/>
  <c r="G47" i="4" s="1"/>
  <c r="F35" i="4"/>
  <c r="G35" i="4" s="1"/>
  <c r="F27" i="4"/>
  <c r="G27" i="4" s="1"/>
  <c r="F19" i="4"/>
  <c r="G19" i="4" s="1"/>
  <c r="F86" i="4"/>
  <c r="G86" i="4" s="1"/>
  <c r="F82" i="4"/>
  <c r="G82" i="4" s="1"/>
  <c r="F78" i="4"/>
  <c r="G78" i="4" s="1"/>
  <c r="F74" i="4"/>
  <c r="G74" i="4" s="1"/>
  <c r="F70" i="4"/>
  <c r="G70" i="4" s="1"/>
  <c r="F66" i="4"/>
  <c r="G66" i="4" s="1"/>
  <c r="F62" i="4"/>
  <c r="G62" i="4" s="1"/>
  <c r="F58" i="4"/>
  <c r="G58" i="4" s="1"/>
  <c r="F54" i="4"/>
  <c r="G54" i="4" s="1"/>
  <c r="F50" i="4"/>
  <c r="G50" i="4" s="1"/>
  <c r="F46" i="4"/>
  <c r="G46" i="4" s="1"/>
  <c r="F42" i="4"/>
  <c r="G42" i="4" s="1"/>
  <c r="F38" i="4"/>
  <c r="G38" i="4" s="1"/>
  <c r="F34" i="4"/>
  <c r="G34" i="4" s="1"/>
  <c r="F30" i="4"/>
  <c r="G30" i="4" s="1"/>
  <c r="F26" i="4"/>
  <c r="G26" i="4" s="1"/>
  <c r="F22" i="4"/>
  <c r="G22" i="4" s="1"/>
  <c r="F18" i="4"/>
  <c r="G18" i="4" s="1"/>
  <c r="F14" i="4"/>
  <c r="G14" i="4" s="1"/>
  <c r="F10" i="4"/>
  <c r="G10" i="4" s="1"/>
  <c r="F6" i="4"/>
  <c r="G6" i="4" s="1"/>
  <c r="F2" i="4"/>
  <c r="G2" i="4" s="1"/>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C6" i="2" l="1"/>
  <c r="B3" i="2"/>
  <c r="C7" i="2"/>
  <c r="B5" i="2"/>
  <c r="C4" i="2"/>
  <c r="C8" i="2"/>
  <c r="B6" i="2"/>
  <c r="B8" i="2"/>
  <c r="C5" i="2"/>
  <c r="C3" i="2"/>
  <c r="B7" i="2"/>
  <c r="D6" i="2" s="1"/>
  <c r="B4" i="2"/>
  <c r="D3" i="2" s="1"/>
  <c r="D4" i="2" l="1"/>
  <c r="D5" i="2"/>
  <c r="D8" i="2"/>
  <c r="D7" i="2"/>
</calcChain>
</file>

<file path=xl/sharedStrings.xml><?xml version="1.0" encoding="utf-8"?>
<sst xmlns="http://schemas.openxmlformats.org/spreadsheetml/2006/main" count="1298" uniqueCount="489">
  <si>
    <t>Customer_ID</t>
  </si>
  <si>
    <t>Customer_Name</t>
  </si>
  <si>
    <t>Region</t>
  </si>
  <si>
    <t>Product_Category</t>
  </si>
  <si>
    <t>Sales</t>
  </si>
  <si>
    <t>Quantity</t>
  </si>
  <si>
    <t>Discount</t>
  </si>
  <si>
    <t>Order_Date</t>
  </si>
  <si>
    <t>Month</t>
  </si>
  <si>
    <t>Profit</t>
  </si>
  <si>
    <t>CUST001</t>
  </si>
  <si>
    <t>CUST002</t>
  </si>
  <si>
    <t>CUST003</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</si>
  <si>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</si>
  <si>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</si>
  <si>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</si>
  <si>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</si>
  <si>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</si>
  <si>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</si>
  <si>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</si>
  <si>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</si>
  <si>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</si>
  <si>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</si>
  <si>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</si>
  <si>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</si>
  <si>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</si>
  <si>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</si>
  <si>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</si>
  <si>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</si>
  <si>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</si>
  <si>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</si>
  <si>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</si>
  <si>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</si>
  <si>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</si>
  <si>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</si>
  <si>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</si>
  <si>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</si>
  <si>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</si>
  <si>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</si>
  <si>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</si>
  <si>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</si>
  <si>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</si>
  <si>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</si>
  <si>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</si>
  <si>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</si>
  <si>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</si>
  <si>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</si>
  <si>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</si>
  <si>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</si>
  <si>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</si>
  <si>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</si>
  <si>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</si>
  <si>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</si>
  <si>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</si>
  <si>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</si>
  <si>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</si>
  <si>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</si>
  <si>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</si>
  <si>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</si>
  <si>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</si>
  <si>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</si>
  <si>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</si>
  <si>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</si>
  <si>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</si>
  <si>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</si>
  <si>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</si>
  <si>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</si>
  <si>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</si>
  <si>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</si>
  <si>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</si>
  <si>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</si>
  <si>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</si>
  <si>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</si>
  <si>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</si>
  <si>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</si>
  <si>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</si>
  <si>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</si>
  <si>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</si>
  <si>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</si>
  <si>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</si>
  <si>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</si>
  <si>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</si>
  <si>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</si>
  <si>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</si>
  <si>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</si>
  <si>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</si>
  <si>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</si>
  <si>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</si>
  <si>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</si>
  <si>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</si>
  <si>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</si>
  <si>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</si>
  <si>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</si>
  <si>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</si>
  <si>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</si>
  <si>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</si>
  <si>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</si>
  <si>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</si>
  <si>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</si>
  <si>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</si>
  <si>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</si>
  <si>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</si>
  <si>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</si>
  <si>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</si>
  <si>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</si>
  <si>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</si>
  <si>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</si>
  <si>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</si>
  <si>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</si>
  <si>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</si>
  <si>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</si>
  <si>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</si>
  <si>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</si>
  <si>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</si>
  <si>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</si>
  <si>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</si>
  <si>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</si>
  <si>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</si>
  <si>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</si>
  <si>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</si>
  <si>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</si>
  <si>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</si>
  <si>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</si>
  <si>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</si>
  <si>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</si>
  <si>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</si>
  <si>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</si>
  <si>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</si>
  <si>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</si>
  <si>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</si>
  <si>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</si>
  <si>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</si>
  <si>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</si>
  <si>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</si>
  <si>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</si>
  <si>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</si>
  <si>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</si>
  <si>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</si>
  <si>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</si>
  <si>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</si>
  <si>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</si>
  <si>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</si>
  <si>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</si>
  <si>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</si>
  <si>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</si>
  <si>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</si>
  <si>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</si>
  <si>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</si>
  <si>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</si>
  <si>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</si>
  <si>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</si>
  <si>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</si>
  <si>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</si>
  <si>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</si>
  <si>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</si>
  <si>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</si>
  <si>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</si>
  <si>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</si>
  <si>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</si>
  <si>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</si>
  <si>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</si>
  <si>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</si>
  <si>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</si>
  <si>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</si>
  <si>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</si>
  <si>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</si>
  <si>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</si>
  <si>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</si>
  <si>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</si>
  <si>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</si>
  <si>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</si>
  <si>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</si>
  <si>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</si>
  <si>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</si>
  <si>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</si>
  <si>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</si>
  <si>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</si>
  <si>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</si>
  <si>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</si>
  <si>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</si>
  <si>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</si>
  <si>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</si>
  <si>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</si>
  <si>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</si>
  <si>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</si>
  <si>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</si>
  <si>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</si>
  <si>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</si>
  <si>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</si>
  <si>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</si>
  <si>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</si>
  <si>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</si>
  <si>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</si>
  <si>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</si>
  <si>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</si>
  <si>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</si>
  <si>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</si>
  <si>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</si>
  <si>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</si>
  <si>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</si>
  <si>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</si>
  <si>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</si>
  <si>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</si>
  <si>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</si>
  <si>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</si>
  <si>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</si>
  <si>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</si>
  <si>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</si>
  <si>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</si>
  <si>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</si>
  <si>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Jordan Smith</t>
  </si>
  <si>
    <t>Casey Brown</t>
  </si>
  <si>
    <t>Morgan Williams</t>
  </si>
  <si>
    <t>Jordan Rodriguez</t>
  </si>
  <si>
    <t>Jordan Martinez</t>
  </si>
  <si>
    <t>Jamie Smith</t>
  </si>
  <si>
    <t>Alex Johnson</t>
  </si>
  <si>
    <t>Morgan Brown</t>
  </si>
  <si>
    <t>Cameron Martinez</t>
  </si>
  <si>
    <t>Alex Rodriguez</t>
  </si>
  <si>
    <t>Morgan Rodriguez</t>
  </si>
  <si>
    <t>Jamie Brown</t>
  </si>
  <si>
    <t>Skyler Martinez</t>
  </si>
  <si>
    <t>Casey Smith</t>
  </si>
  <si>
    <t>Taylor Miller</t>
  </si>
  <si>
    <t>Riley Jones</t>
  </si>
  <si>
    <t>Taylor Brown</t>
  </si>
  <si>
    <t>Riley Johnson</t>
  </si>
  <si>
    <t>Jordan Miller</t>
  </si>
  <si>
    <t>Jordan Garcia</t>
  </si>
  <si>
    <t>Riley Martinez</t>
  </si>
  <si>
    <t>Skyler Rodriguez</t>
  </si>
  <si>
    <t>Casey Martinez</t>
  </si>
  <si>
    <t>Morgan Johnson</t>
  </si>
  <si>
    <t>Alex Brown</t>
  </si>
  <si>
    <t>Casey Johnson</t>
  </si>
  <si>
    <t>Jamie Jones</t>
  </si>
  <si>
    <t>Skyler Garcia</t>
  </si>
  <si>
    <t>Taylor Garcia</t>
  </si>
  <si>
    <t>Riley Brown</t>
  </si>
  <si>
    <t>Dakota Williams</t>
  </si>
  <si>
    <t>Cameron Brown</t>
  </si>
  <si>
    <t>Taylor Davis</t>
  </si>
  <si>
    <t>Riley Smith</t>
  </si>
  <si>
    <t>Morgan Smith</t>
  </si>
  <si>
    <t>Riley Miller</t>
  </si>
  <si>
    <t>Morgan Martinez</t>
  </si>
  <si>
    <t>Skyler Miller</t>
  </si>
  <si>
    <t>Skyler Williams</t>
  </si>
  <si>
    <t>Casey Williams</t>
  </si>
  <si>
    <t>Cameron Jones</t>
  </si>
  <si>
    <t>Dakota Miller</t>
  </si>
  <si>
    <t>Taylor Rodriguez</t>
  </si>
  <si>
    <t>Skyler Johnson</t>
  </si>
  <si>
    <t>Taylor Williams</t>
  </si>
  <si>
    <t>Jamie Martinez</t>
  </si>
  <si>
    <t>Casey Rodriguez</t>
  </si>
  <si>
    <t>Casey Miller</t>
  </si>
  <si>
    <t>Alex Jones</t>
  </si>
  <si>
    <t>Cameron Williams</t>
  </si>
  <si>
    <t>Cameron Johnson</t>
  </si>
  <si>
    <t>Dakota Brown</t>
  </si>
  <si>
    <t>Cameron Smith</t>
  </si>
  <si>
    <t>Dakota Garcia</t>
  </si>
  <si>
    <t>Skyler Smith</t>
  </si>
  <si>
    <t>Dakota Johnson</t>
  </si>
  <si>
    <t>Jordan Davis</t>
  </si>
  <si>
    <t>Taylor Jones</t>
  </si>
  <si>
    <t>Riley Davis</t>
  </si>
  <si>
    <t>Cameron Davis</t>
  </si>
  <si>
    <t>Jordan Brown</t>
  </si>
  <si>
    <t>Dakota Rodriguez</t>
  </si>
  <si>
    <t>Alex Garcia</t>
  </si>
  <si>
    <t>Morgan Jones</t>
  </si>
  <si>
    <t>Skyler Brown</t>
  </si>
  <si>
    <t>Dakota Martinez</t>
  </si>
  <si>
    <t>Jamie Davis</t>
  </si>
  <si>
    <t>Alex Miller</t>
  </si>
  <si>
    <t>Jamie Williams</t>
  </si>
  <si>
    <t>Casey Davis</t>
  </si>
  <si>
    <t>Skyler Davis</t>
  </si>
  <si>
    <t>Morgan Miller</t>
  </si>
  <si>
    <t>Alex Williams</t>
  </si>
  <si>
    <t>Skyler Jones</t>
  </si>
  <si>
    <t>Jamie Rodriguez</t>
  </si>
  <si>
    <t>Alex Smith</t>
  </si>
  <si>
    <t>Dakota Davis</t>
  </si>
  <si>
    <t>Cameron Rodriguez</t>
  </si>
  <si>
    <t>Taylor Smith</t>
  </si>
  <si>
    <t>Taylor Johnson</t>
  </si>
  <si>
    <t>Dakota Smith</t>
  </si>
  <si>
    <t>Morgan Garcia</t>
  </si>
  <si>
    <t>Alex Davis</t>
  </si>
  <si>
    <t>Jordan Johnson</t>
  </si>
  <si>
    <t>Casey Jones</t>
  </si>
  <si>
    <t>Riley Williams</t>
  </si>
  <si>
    <t>Jordan Williams</t>
  </si>
  <si>
    <t>Riley Rodriguez</t>
  </si>
  <si>
    <t>South</t>
  </si>
  <si>
    <t>West</t>
  </si>
  <si>
    <t>North</t>
  </si>
  <si>
    <t>East</t>
  </si>
  <si>
    <t>Central</t>
  </si>
  <si>
    <t>Security Cameras</t>
  </si>
  <si>
    <t>Smart Lighting</t>
  </si>
  <si>
    <t>Smart Thermostats</t>
  </si>
  <si>
    <t>Smart Speakers</t>
  </si>
  <si>
    <t>2026-02-22</t>
  </si>
  <si>
    <t>2026-01-18</t>
  </si>
  <si>
    <t>2026-05-22</t>
  </si>
  <si>
    <t>2026-02-23</t>
  </si>
  <si>
    <t>2026-05-31</t>
  </si>
  <si>
    <t>2026-02-25</t>
  </si>
  <si>
    <t>2026-03-01</t>
  </si>
  <si>
    <t>2026-03-26</t>
  </si>
  <si>
    <t>2026-02-07</t>
  </si>
  <si>
    <t>2026-06-02</t>
  </si>
  <si>
    <t>2026-01-01</t>
  </si>
  <si>
    <t>2026-03-12</t>
  </si>
  <si>
    <t>2026-02-03</t>
  </si>
  <si>
    <t>2026-05-19</t>
  </si>
  <si>
    <t>2026-03-06</t>
  </si>
  <si>
    <t>2026-02-14</t>
  </si>
  <si>
    <t>2026-01-29</t>
  </si>
  <si>
    <t>2026-06-19</t>
  </si>
  <si>
    <t>2026-01-07</t>
  </si>
  <si>
    <t>2026-01-04</t>
  </si>
  <si>
    <t>2026-04-02</t>
  </si>
  <si>
    <t>2026-03-02</t>
  </si>
  <si>
    <t>2026-03-24</t>
  </si>
  <si>
    <t>2026-01-05</t>
  </si>
  <si>
    <t>2026-03-09</t>
  </si>
  <si>
    <t>2026-01-14</t>
  </si>
  <si>
    <t>2026-02-02</t>
  </si>
  <si>
    <t>2026-04-18</t>
  </si>
  <si>
    <t>2026-05-15</t>
  </si>
  <si>
    <t>2026-01-30</t>
  </si>
  <si>
    <t>2026-01-17</t>
  </si>
  <si>
    <t>2026-05-02</t>
  </si>
  <si>
    <t>2026-04-25</t>
  </si>
  <si>
    <t>2026-04-03</t>
  </si>
  <si>
    <t>2026-05-12</t>
  </si>
  <si>
    <t>2026-06-01</t>
  </si>
  <si>
    <t>2026-01-28</t>
  </si>
  <si>
    <t>2026-04-26</t>
  </si>
  <si>
    <t>2026-05-09</t>
  </si>
  <si>
    <t>2026-02-26</t>
  </si>
  <si>
    <t>2026-06-07</t>
  </si>
  <si>
    <t>2026-01-12</t>
  </si>
  <si>
    <t>2026-06-18</t>
  </si>
  <si>
    <t>2026-05-14</t>
  </si>
  <si>
    <t>2026-03-19</t>
  </si>
  <si>
    <t>2026-04-28</t>
  </si>
  <si>
    <t>2026-06-14</t>
  </si>
  <si>
    <t>2026-01-08</t>
  </si>
  <si>
    <t>2026-01-16</t>
  </si>
  <si>
    <t>2026-05-03</t>
  </si>
  <si>
    <t>2026-04-13</t>
  </si>
  <si>
    <t>2026-04-20</t>
  </si>
  <si>
    <t>2026-06-25</t>
  </si>
  <si>
    <t>2026-05-06</t>
  </si>
  <si>
    <t>2026-04-24</t>
  </si>
  <si>
    <t>2026-01-19</t>
  </si>
  <si>
    <t>2026-01-21</t>
  </si>
  <si>
    <t>2026-06-05</t>
  </si>
  <si>
    <t>2026-06-09</t>
  </si>
  <si>
    <t>2026-06-12</t>
  </si>
  <si>
    <t>2026-05-30</t>
  </si>
  <si>
    <t>2026-05-21</t>
  </si>
  <si>
    <t>2026-03-25</t>
  </si>
  <si>
    <t>2026-04-08</t>
  </si>
  <si>
    <t>2026-05-16</t>
  </si>
  <si>
    <t>2026-03-17</t>
  </si>
  <si>
    <t>2026-04-27</t>
  </si>
  <si>
    <t>2026-05-10</t>
  </si>
  <si>
    <t>2026-06-04</t>
  </si>
  <si>
    <t>2026-04-21</t>
  </si>
  <si>
    <t>2026-01-26</t>
  </si>
  <si>
    <t>2026-06-29</t>
  </si>
  <si>
    <t>2026-06-17</t>
  </si>
  <si>
    <t>2026-06-16</t>
  </si>
  <si>
    <t>2026-02-28</t>
  </si>
  <si>
    <t>2026-04-16</t>
  </si>
  <si>
    <t>2026-03-28</t>
  </si>
  <si>
    <t>2026-04-17</t>
  </si>
  <si>
    <t>2026-01-25</t>
  </si>
  <si>
    <t>2026-03-22</t>
  </si>
  <si>
    <t>2026-06-20</t>
  </si>
  <si>
    <t>2026-03-07</t>
  </si>
  <si>
    <t>2026-04-06</t>
  </si>
  <si>
    <t>2026-02-09</t>
  </si>
  <si>
    <t>2026-01-24</t>
  </si>
  <si>
    <t>2026-01-22</t>
  </si>
  <si>
    <t>2026-05-23</t>
  </si>
  <si>
    <t>2026-05-24</t>
  </si>
  <si>
    <t>2026-06-21</t>
  </si>
  <si>
    <t>2026-02-01</t>
  </si>
  <si>
    <t>2026-04-01</t>
  </si>
  <si>
    <t>2026-04-19</t>
  </si>
  <si>
    <t>2026-03-15</t>
  </si>
  <si>
    <t>2026-06-03</t>
  </si>
  <si>
    <t>2026-03-21</t>
  </si>
  <si>
    <t>2026-01-27</t>
  </si>
  <si>
    <t>2026-05-28</t>
  </si>
  <si>
    <t>2026-02-24</t>
  </si>
  <si>
    <t>2026-05-04</t>
  </si>
  <si>
    <t>2026-02-27</t>
  </si>
  <si>
    <t>2026-03-31</t>
  </si>
  <si>
    <t>2026-04-05</t>
  </si>
  <si>
    <t>2026-03-13</t>
  </si>
  <si>
    <t>2026-05-27</t>
  </si>
  <si>
    <t>2026-06-22</t>
  </si>
  <si>
    <t>2026-06-27</t>
  </si>
  <si>
    <t>2026-03-10</t>
  </si>
  <si>
    <t>2026-02-16</t>
  </si>
  <si>
    <t>2026-03-11</t>
  </si>
  <si>
    <t>2026-01-02</t>
  </si>
  <si>
    <t>2026-02-06</t>
  </si>
  <si>
    <t>2026-05-25</t>
  </si>
  <si>
    <t>2026-04-07</t>
  </si>
  <si>
    <t>2026-03-29</t>
  </si>
  <si>
    <t>2026-02-10</t>
  </si>
  <si>
    <t>2026-05-26</t>
  </si>
  <si>
    <t>2026-06-08</t>
  </si>
  <si>
    <t>2026-01-13</t>
  </si>
  <si>
    <t>Column1</t>
  </si>
  <si>
    <t>Order Month.</t>
  </si>
  <si>
    <t>Total Sales</t>
  </si>
  <si>
    <t>Total Profit</t>
  </si>
  <si>
    <t>Growth vs Prior Month</t>
  </si>
  <si>
    <t>Grand Total</t>
  </si>
  <si>
    <t>TOTAL SALES BY REGION AND PRODUCT</t>
  </si>
  <si>
    <t>Customer ID</t>
  </si>
  <si>
    <t>Customer Name</t>
  </si>
  <si>
    <t>Total Purchase (Sales)</t>
  </si>
  <si>
    <t>Order Count</t>
  </si>
  <si>
    <t>Rank</t>
  </si>
  <si>
    <t>Top 10?</t>
  </si>
  <si>
    <t>Column2</t>
  </si>
  <si>
    <t>Column3</t>
  </si>
  <si>
    <t>Column4</t>
  </si>
  <si>
    <t>Column5</t>
  </si>
  <si>
    <t>Column6</t>
  </si>
  <si>
    <t>Total</t>
  </si>
  <si>
    <t>Average Current Discount</t>
  </si>
  <si>
    <t>Total Current Sales</t>
  </si>
  <si>
    <t>New Proposed Discount</t>
  </si>
  <si>
    <t>Total Profit at New Discount</t>
  </si>
  <si>
    <t>Mean</t>
  </si>
  <si>
    <t>Standard Error</t>
  </si>
  <si>
    <t>Median</t>
  </si>
  <si>
    <t>Mode</t>
  </si>
  <si>
    <t>Standard Deviation</t>
  </si>
  <si>
    <t>Sample Variance</t>
  </si>
  <si>
    <t>Kurtosis</t>
  </si>
  <si>
    <t>Skewness</t>
  </si>
  <si>
    <t>Range</t>
  </si>
  <si>
    <t>Minimum</t>
  </si>
  <si>
    <t>Maximum</t>
  </si>
  <si>
    <t>Sum</t>
  </si>
  <si>
    <t>Count</t>
  </si>
  <si>
    <t>Regression Statistics</t>
  </si>
  <si>
    <t>Multiple R</t>
  </si>
  <si>
    <t>R Square</t>
  </si>
  <si>
    <t>Adjusted R Square</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</si>
  <si>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</si>
  <si>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</si>
  <si>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</si>
  <si>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</si>
  <si>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</si>
  <si>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</si>
  <si>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</si>
  <si>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</si>
  <si>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</si>
  <si>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</si>
  <si>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</si>
  <si>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</si>
  <si>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</si>
  <si>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</si>
  <si>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</si>
  <si>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</si>
  <si>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</si>
  <si>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X Variable 1</t>
  </si>
  <si>
    <t>Product Category</t>
  </si>
  <si>
    <t>Timestamp</t>
  </si>
  <si>
    <t>Top Rank</t>
  </si>
  <si>
    <t>High-Value Customer</t>
  </si>
  <si>
    <t>Scenario Analysis: Discount Impact Model</t>
  </si>
  <si>
    <t>Adjust the highlighted input cell below to forecast how changing the average discount rate impacts overall company profitability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</si>
</sst>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1" formatCode="&quot;₹&quot;\ #,##0.00"/>
    <numFmt numFmtId="179" formatCode="[Green]\▲\ 0%;[Red]\▼\ \-0%;0%"/>
  </numFmts>
  <fonts count="6">
    <font>
      <sz val="11"/>
      <color theme="1"/>
      <name val="Century Gothic"/>
      <family val="2"/>
      <scheme val="minor"/>
    </font>
    <font>
      <b/>
      <sz val="11"/>
      <color theme="1"/>
      <name val="Century Gothic"/>
      <family val="2"/>
      <scheme val="minor"/>
    </font>
    <font>
      <sz val="10"/>
      <color theme="1"/>
      <name val="Arial Unicode MS"/>
    </font>
    <font>
      <i/>
      <sz val="11"/>
      <color theme="1"/>
      <name val="Century Gothic"/>
      <family val="2"/>
      <scheme val="minor"/>
    </font>
    <font>
      <sz val="11"/>
      <color rgb="FFFFFFFF"/>
      <name val="Century Gothic"/>
      <family val="2"/>
      <scheme val="minor"/>
    </font>
    <font>
      <b/>
      <sz val="16"/>
      <color theme="1"/>
      <name val="Century Gothic"/>
      <family val="2"/>
      <scheme val="minor"/>
    </font>
  </fonts>
  <fills count="3">
    <fill>
      <patternFill patternType="none"/>
    </fill>
    <fill>
      <patternFill patternType="gray125"/>
    </fill>
    <fill>
      <patternFill patternType="solid">
        <fgColor theme="4"/>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indexed="64"/>
      </bottom>
      <diagonal/>
    </border>
    <border>
      <left/>
      <right/>
      <top style="medium">
        <color indexed="64"/>
      </top>
      <bottom style="thin">
        <color indexed="64"/>
      </bottom>
      <diagonal/>
    </border>
  </borders>
  <cellStyleXfs count="1">
    <xf numFmtId="0" fontId="0" fillId="0" borderId="0"/>
  </cellStyleXfs>
  <cellXfs count="35">
    <xf numFmtId="0" fontId="0" fillId="0" borderId="0" xfId="0"/>
    <xf numFmtId="0" fontId="1" fillId="0" borderId="2" xfId="0" applyFont="1" applyBorder="1" applyAlignment="1">
      <alignment horizontal="center" vertical="top"/>
    </xf>
    <xf numFmtId="14" fontId="1" fillId="0" borderId="2" xfId="0" applyNumberFormat="1" applyFont="1" applyBorder="1" applyAlignment="1">
      <alignment horizontal="center" vertical="top"/>
    </xf>
    <xf numFmtId="171" fontId="1" fillId="0" borderId="2" xfId="0" applyNumberFormat="1" applyFont="1" applyBorder="1" applyAlignment="1">
      <alignment horizontal="center" vertical="top"/>
    </xf>
    <xf numFmtId="171" fontId="0" fillId="0" borderId="0" xfId="0" applyNumberFormat="1"/>
    <xf numFmtId="10" fontId="1" fillId="0" borderId="2" xfId="0" applyNumberFormat="1" applyFont="1" applyBorder="1" applyAlignment="1">
      <alignment horizontal="center" vertical="top"/>
    </xf>
    <xf numFmtId="0" fontId="0" fillId="0" borderId="0" xfId="0" applyAlignment="1">
      <alignment horizontal="center" vertical="top"/>
    </xf>
    <xf numFmtId="171" fontId="0" fillId="0" borderId="0" xfId="0" applyNumberFormat="1" applyAlignment="1">
      <alignment horizontal="center" vertical="top"/>
    </xf>
    <xf numFmtId="10" fontId="0" fillId="0" borderId="0" xfId="0" applyNumberFormat="1" applyAlignment="1">
      <alignment horizontal="center" vertical="top"/>
    </xf>
    <xf numFmtId="14" fontId="0" fillId="0" borderId="0" xfId="0" applyNumberFormat="1" applyAlignment="1">
      <alignment horizontal="center" vertical="top"/>
    </xf>
    <xf numFmtId="14" fontId="0" fillId="0" borderId="0" xfId="0" applyNumberFormat="1" applyFont="1" applyAlignment="1">
      <alignment horizontal="center" vertical="top"/>
    </xf>
    <xf numFmtId="0" fontId="1" fillId="0" borderId="0" xfId="0" applyFont="1" applyAlignment="1">
      <alignment horizontal="center" vertical="center"/>
    </xf>
    <xf numFmtId="14" fontId="1" fillId="0" borderId="0" xfId="0" applyNumberFormat="1" applyFont="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center" vertical="center"/>
    </xf>
    <xf numFmtId="14" fontId="0" fillId="0" borderId="0" xfId="0" applyNumberFormat="1" applyAlignment="1">
      <alignment horizontal="center" vertical="center"/>
    </xf>
    <xf numFmtId="0" fontId="2" fillId="0" borderId="0" xfId="0" applyFont="1" applyAlignment="1">
      <alignment horizontal="center" vertical="center"/>
    </xf>
    <xf numFmtId="0" fontId="0" fillId="0" borderId="1" xfId="0" applyBorder="1"/>
    <xf numFmtId="10" fontId="2" fillId="0" borderId="1" xfId="0" applyNumberFormat="1" applyFont="1" applyBorder="1"/>
    <xf numFmtId="171" fontId="0" fillId="0" borderId="1" xfId="0" applyNumberFormat="1" applyBorder="1"/>
    <xf numFmtId="10" fontId="0" fillId="0" borderId="1" xfId="0" applyNumberFormat="1" applyBorder="1"/>
    <xf numFmtId="0" fontId="0" fillId="0" borderId="0" xfId="0" applyFill="1" applyBorder="1" applyAlignment="1"/>
    <xf numFmtId="0" fontId="3" fillId="0" borderId="4" xfId="0" applyFont="1" applyFill="1" applyBorder="1" applyAlignment="1">
      <alignment horizontal="center"/>
    </xf>
    <xf numFmtId="0" fontId="3" fillId="0" borderId="3" xfId="0" applyFont="1" applyFill="1" applyBorder="1" applyAlignment="1">
      <alignment horizontal="centerContinuous"/>
    </xf>
    <xf numFmtId="0" fontId="3" fillId="0" borderId="3" xfId="0" applyFont="1" applyFill="1" applyBorder="1" applyAlignment="1">
      <alignment horizontal="center"/>
    </xf>
    <xf numFmtId="0" fontId="0" fillId="2" borderId="0" xfId="0" applyFill="1"/>
    <xf numFmtId="0" fontId="4" fillId="2" borderId="0" xfId="0" applyFont="1" applyFill="1" applyAlignment="1">
      <alignment horizontal="left" vertical="center"/>
    </xf>
    <xf numFmtId="10" fontId="0" fillId="2" borderId="0" xfId="0" applyNumberFormat="1" applyFill="1"/>
    <xf numFmtId="2" fontId="0" fillId="0" borderId="0" xfId="0" applyNumberFormat="1" applyFill="1" applyBorder="1" applyAlignment="1"/>
    <xf numFmtId="179" fontId="0" fillId="0" borderId="0" xfId="0" applyNumberFormat="1" applyAlignment="1">
      <alignment horizontal="center" vertical="center"/>
    </xf>
    <xf numFmtId="22" fontId="0" fillId="0" borderId="0" xfId="0" applyNumberFormat="1"/>
    <xf numFmtId="22" fontId="0" fillId="0" borderId="0" xfId="0" applyNumberFormat="1" applyFont="1" applyAlignment="1">
      <alignment horizontal="center" vertical="top"/>
    </xf>
    <xf numFmtId="0" fontId="5" fillId="0" borderId="0" xfId="0" applyFont="1" applyAlignment="1">
      <alignment horizontal="center"/>
    </xf>
    <xf numFmtId="0" fontId="3" fillId="0" borderId="0" xfId="0" applyFont="1" applyAlignment="1"/>
  </cellXfs>
  <cellStyles count="1">
    <cellStyle name="Normal" xfId="0" builtinId="0"/>
  </cellStyles>
  <dxfs count="77">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0"/>
        <color theme="1"/>
        <name val="Arial Unicode MS"/>
        <scheme val="none"/>
      </font>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color rgb="FF006100"/>
      </font>
      <fill>
        <patternFill>
          <bgColor rgb="FFC6EFCE"/>
        </patternFill>
      </fill>
    </dxf>
    <dxf>
      <numFmt numFmtId="27" formatCode="dd/mm/yyyy\ hh:mm"/>
      <alignment horizontal="center" vertical="top" textRotation="0" wrapText="0" indent="0" justifyLastLine="0" shrinkToFit="0" readingOrder="0"/>
    </dxf>
    <dxf>
      <numFmt numFmtId="179" formatCode="[Green]\▲\ 0%;[Red]\▼\ \-0%;0%"/>
      <alignment horizontal="center" vertical="center" textRotation="0" wrapText="0" indent="0" justifyLastLine="0" shrinkToFit="0" readingOrder="0"/>
    </dxf>
    <dxf>
      <numFmt numFmtId="2" formatCode="0.00"/>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numFmt numFmtId="2" formatCode="0.00"/>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numFmt numFmtId="2" formatCode="0.00"/>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bottom style="medium">
          <color indexed="64"/>
        </bottom>
      </border>
    </dxf>
    <dxf>
      <font>
        <b val="0"/>
        <i/>
        <strike val="0"/>
        <condense val="0"/>
        <extend val="0"/>
        <outline val="0"/>
        <shadow val="0"/>
        <u val="none"/>
        <vertAlign val="baseline"/>
        <sz val="11"/>
        <color theme="1"/>
        <name val="Century Gothic"/>
        <family val="2"/>
        <scheme val="minor"/>
      </font>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border outline="0">
        <top style="medium">
          <color indexed="64"/>
        </top>
        <bottom style="medium">
          <color indexed="64"/>
        </bottom>
      </border>
    </dxf>
    <dxf>
      <font>
        <b val="0"/>
        <i/>
        <strike val="0"/>
        <condense val="0"/>
        <extend val="0"/>
        <outline val="0"/>
        <shadow val="0"/>
        <u val="none"/>
        <vertAlign val="baseline"/>
        <sz val="11"/>
        <color theme="1"/>
        <name val="Century Gothic"/>
        <family val="2"/>
        <scheme val="minor"/>
      </font>
      <fill>
        <patternFill patternType="none">
          <fgColor indexed="64"/>
          <bgColor indexed="65"/>
        </patternFill>
      </fill>
      <alignment horizontal="centerContinuous"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bottom style="medium">
          <color indexed="64"/>
        </bottom>
      </border>
    </dxf>
    <dxf>
      <alignment horizontal="center" vertical="top" textRotation="0" wrapText="0" indent="0" justifyLastLine="0" shrinkToFit="0" readingOrder="0"/>
    </dxf>
    <dxf>
      <alignment horizontal="center" vertical="top" textRotation="0" wrapText="0" indent="0" justifyLastLine="0" shrinkToFit="0" readingOrder="0"/>
    </dxf>
    <dxf>
      <font>
        <b val="0"/>
        <i val="0"/>
        <strike val="0"/>
        <condense val="0"/>
        <extend val="0"/>
        <outline val="0"/>
        <shadow val="0"/>
        <u val="none"/>
        <vertAlign val="baseline"/>
        <sz val="10"/>
        <color theme="1"/>
        <name val="Arial Unicode MS"/>
        <scheme val="none"/>
      </font>
    </dxf>
    <dxf>
      <alignment horizontal="center" vertical="center" textRotation="0" wrapText="0" indent="0" justifyLastLine="0" shrinkToFit="0" readingOrder="0"/>
    </dxf>
    <dxf>
      <font>
        <b/>
        <i val="0"/>
        <strike val="0"/>
        <condense val="0"/>
        <extend val="0"/>
        <outline val="0"/>
        <shadow val="0"/>
        <u val="none"/>
        <vertAlign val="baseline"/>
        <sz val="11"/>
        <color theme="1"/>
        <name val="Century Gothic"/>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71" formatCode="&quot;₹&quot;\ #,##0.00"/>
    </dxf>
    <dxf>
      <numFmt numFmtId="19" formatCode="dd/mm/yyyy"/>
      <alignment horizontal="center" vertical="top" textRotation="0" wrapText="0" indent="0" justifyLastLine="0" shrinkToFit="0" readingOrder="0"/>
    </dxf>
    <dxf>
      <numFmt numFmtId="19" formatCode="dd/mm/yyyy"/>
      <alignment horizontal="center" vertical="top" textRotation="0" wrapText="0" indent="0" justifyLastLine="0" shrinkToFit="0" readingOrder="0"/>
    </dxf>
    <dxf>
      <alignment horizontal="center" vertical="top" textRotation="0" wrapText="0" indent="0" justifyLastLine="0" shrinkToFit="0" readingOrder="0"/>
    </dxf>
    <dxf>
      <font>
        <b/>
        <i val="0"/>
        <strike val="0"/>
        <condense val="0"/>
        <extend val="0"/>
        <outline val="0"/>
        <shadow val="0"/>
        <u val="none"/>
        <vertAlign val="baseline"/>
        <sz val="11"/>
        <color theme="1"/>
        <name val="Century Gothic"/>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top" textRotation="0" wrapText="0" indent="0" justifyLastLine="0" shrinkToFit="0" readingOrder="0"/>
    </dxf>
    <dxf>
      <alignment horizontal="center" vertical="top" textRotation="0" wrapText="0" indent="0" justifyLastLine="0" shrinkToFit="0" readingOrder="0"/>
    </dxf>
    <dxf>
      <numFmt numFmtId="14" formatCode="0.00%"/>
      <alignment horizontal="center" vertical="top" textRotation="0" wrapText="0" indent="0" justifyLastLine="0" shrinkToFit="0" readingOrder="0"/>
    </dxf>
    <dxf>
      <alignment horizontal="center" vertical="top" textRotation="0" wrapText="0" indent="0" justifyLastLine="0" shrinkToFit="0" readingOrder="0"/>
    </dxf>
    <dxf>
      <numFmt numFmtId="171" formatCode="&quot;₹&quot;\ #,##0.00"/>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Monthly Revenue &amp; Profit Trends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spPr>
            <a:ln w="34925" cap="rnd">
              <a:solidFill>
                <a:schemeClr val="accent1"/>
              </a:solidFill>
              <a:round/>
            </a:ln>
            <a:effectLst>
              <a:outerShdw blurRad="50800" dist="38100" dir="5400000" rotWithShape="0">
                <a:srgbClr val="000000">
                  <a:alpha val="46000"/>
                </a:srgbClr>
              </a:outerShdw>
            </a:effectLst>
          </c:spPr>
          <c:marker>
            <c:symbol val="none"/>
          </c:marker>
          <c:cat>
            <c:numRef>
              <c:f>MonthlySales!$A$3:$A$8</c:f>
              <c:numCache>
                <c:formatCode>m/d/yyyy</c:formatCode>
                <c:ptCount val="6"/>
                <c:pt idx="0">
                  <c:v>46023</c:v>
                </c:pt>
                <c:pt idx="1">
                  <c:v>46054</c:v>
                </c:pt>
                <c:pt idx="2">
                  <c:v>46082</c:v>
                </c:pt>
                <c:pt idx="3">
                  <c:v>46113</c:v>
                </c:pt>
                <c:pt idx="4">
                  <c:v>46143</c:v>
                </c:pt>
                <c:pt idx="5">
                  <c:v>46174</c:v>
                </c:pt>
              </c:numCache>
            </c:numRef>
          </c:cat>
          <c:val>
            <c:numRef>
              <c:f>MonthlySales!$B$3:$B$8</c:f>
              <c:numCache>
                <c:formatCode>General</c:formatCode>
                <c:ptCount val="6"/>
                <c:pt idx="0">
                  <c:v>37627.840000000011</c:v>
                </c:pt>
                <c:pt idx="1">
                  <c:v>26776.249999999996</c:v>
                </c:pt>
                <c:pt idx="2">
                  <c:v>22263.65</c:v>
                </c:pt>
                <c:pt idx="3">
                  <c:v>30684.029999999995</c:v>
                </c:pt>
                <c:pt idx="4">
                  <c:v>24799.679999999997</c:v>
                </c:pt>
                <c:pt idx="5">
                  <c:v>33811.820000000007</c:v>
                </c:pt>
              </c:numCache>
            </c:numRef>
          </c:val>
          <c:smooth val="0"/>
          <c:extLst>
            <c:ext xmlns:c16="http://schemas.microsoft.com/office/drawing/2014/chart" uri="{C3380CC4-5D6E-409C-BE32-E72D297353CC}">
              <c16:uniqueId val="{00000000-7E66-4993-B48D-4615AC3B12E0}"/>
            </c:ext>
          </c:extLst>
        </c:ser>
        <c:ser>
          <c:idx val="1"/>
          <c:order val="1"/>
          <c:spPr>
            <a:ln w="34925" cap="rnd">
              <a:solidFill>
                <a:schemeClr val="accent2"/>
              </a:solidFill>
              <a:round/>
            </a:ln>
            <a:effectLst>
              <a:outerShdw blurRad="50800" dist="38100" dir="5400000" rotWithShape="0">
                <a:srgbClr val="000000">
                  <a:alpha val="46000"/>
                </a:srgbClr>
              </a:outerShdw>
            </a:effectLst>
          </c:spPr>
          <c:marker>
            <c:symbol val="none"/>
          </c:marker>
          <c:cat>
            <c:numRef>
              <c:f>MonthlySales!$A$3:$A$8</c:f>
              <c:numCache>
                <c:formatCode>m/d/yyyy</c:formatCode>
                <c:ptCount val="6"/>
                <c:pt idx="0">
                  <c:v>46023</c:v>
                </c:pt>
                <c:pt idx="1">
                  <c:v>46054</c:v>
                </c:pt>
                <c:pt idx="2">
                  <c:v>46082</c:v>
                </c:pt>
                <c:pt idx="3">
                  <c:v>46113</c:v>
                </c:pt>
                <c:pt idx="4">
                  <c:v>46143</c:v>
                </c:pt>
                <c:pt idx="5">
                  <c:v>46174</c:v>
                </c:pt>
              </c:numCache>
            </c:numRef>
          </c:cat>
          <c:val>
            <c:numRef>
              <c:f>MonthlySales!$C$3:$C$8</c:f>
              <c:numCache>
                <c:formatCode>General</c:formatCode>
                <c:ptCount val="6"/>
                <c:pt idx="0">
                  <c:v>9727.0099999999984</c:v>
                </c:pt>
                <c:pt idx="1">
                  <c:v>6625.670000000001</c:v>
                </c:pt>
                <c:pt idx="2">
                  <c:v>5812.6499999999987</c:v>
                </c:pt>
                <c:pt idx="3">
                  <c:v>7413.0399999999991</c:v>
                </c:pt>
                <c:pt idx="4">
                  <c:v>6380.2000000000007</c:v>
                </c:pt>
                <c:pt idx="5">
                  <c:v>8429.619999999999</c:v>
                </c:pt>
              </c:numCache>
            </c:numRef>
          </c:val>
          <c:smooth val="0"/>
          <c:extLst>
            <c:ext xmlns:c16="http://schemas.microsoft.com/office/drawing/2014/chart" uri="{C3380CC4-5D6E-409C-BE32-E72D297353CC}">
              <c16:uniqueId val="{00000001-7E66-4993-B48D-4615AC3B12E0}"/>
            </c:ext>
          </c:extLst>
        </c:ser>
        <c:ser>
          <c:idx val="2"/>
          <c:order val="2"/>
          <c:spPr>
            <a:ln w="34925" cap="rnd">
              <a:solidFill>
                <a:schemeClr val="accent3"/>
              </a:solidFill>
              <a:round/>
            </a:ln>
            <a:effectLst>
              <a:outerShdw blurRad="50800" dist="38100" dir="5400000" rotWithShape="0">
                <a:srgbClr val="000000">
                  <a:alpha val="46000"/>
                </a:srgbClr>
              </a:outerShdw>
            </a:effectLst>
          </c:spPr>
          <c:marker>
            <c:symbol val="none"/>
          </c:marker>
          <c:cat>
            <c:numRef>
              <c:f>MonthlySales!$A$3:$A$8</c:f>
              <c:numCache>
                <c:formatCode>m/d/yyyy</c:formatCode>
                <c:ptCount val="6"/>
                <c:pt idx="0">
                  <c:v>46023</c:v>
                </c:pt>
                <c:pt idx="1">
                  <c:v>46054</c:v>
                </c:pt>
                <c:pt idx="2">
                  <c:v>46082</c:v>
                </c:pt>
                <c:pt idx="3">
                  <c:v>46113</c:v>
                </c:pt>
                <c:pt idx="4">
                  <c:v>46143</c:v>
                </c:pt>
                <c:pt idx="5">
                  <c:v>46174</c:v>
                </c:pt>
              </c:numCache>
            </c:numRef>
          </c:cat>
          <c:val>
            <c:numRef>
              <c:f>MonthlySales!$D$3:$D$8</c:f>
              <c:numCache>
                <c:formatCode>[Green]\▲\ 0%;[Red]\▼\ \-0%;0%</c:formatCode>
                <c:ptCount val="6"/>
                <c:pt idx="0">
                  <c:v>-0.2883925837890246</c:v>
                </c:pt>
                <c:pt idx="1">
                  <c:v>-0.16852994724802747</c:v>
                </c:pt>
                <c:pt idx="2">
                  <c:v>0.37821201824498646</c:v>
                </c:pt>
                <c:pt idx="3">
                  <c:v>-0.19177239756316231</c:v>
                </c:pt>
                <c:pt idx="4">
                  <c:v>0.36339743093459315</c:v>
                </c:pt>
                <c:pt idx="5">
                  <c:v>-1</c:v>
                </c:pt>
              </c:numCache>
            </c:numRef>
          </c:val>
          <c:smooth val="0"/>
          <c:extLst>
            <c:ext xmlns:c16="http://schemas.microsoft.com/office/drawing/2014/chart" uri="{C3380CC4-5D6E-409C-BE32-E72D297353CC}">
              <c16:uniqueId val="{00000002-7E66-4993-B48D-4615AC3B12E0}"/>
            </c:ext>
          </c:extLst>
        </c:ser>
        <c:dLbls>
          <c:showLegendKey val="0"/>
          <c:showVal val="0"/>
          <c:showCatName val="0"/>
          <c:showSerName val="0"/>
          <c:showPercent val="0"/>
          <c:showBubbleSize val="0"/>
        </c:dLbls>
        <c:smooth val="0"/>
        <c:axId val="17813888"/>
        <c:axId val="17810528"/>
      </c:lineChart>
      <c:dateAx>
        <c:axId val="17813888"/>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10528"/>
        <c:crosses val="autoZero"/>
        <c:auto val="1"/>
        <c:lblOffset val="100"/>
        <c:baseTimeUnit val="months"/>
      </c:dateAx>
      <c:valAx>
        <c:axId val="17810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1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[Smart_Home_Tech_Sales_Project.xlsx]PivotTable!PivotTable2</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circle"/>
          <c:size val="6"/>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w="9525">
              <a:solidFill>
                <a:schemeClr val="accent1"/>
              </a:solid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circle"/>
          <c:size val="6"/>
          <c:spPr>
            <a:gradFill rotWithShape="1">
              <a:gsLst>
                <a:gs pos="0">
                  <a:schemeClr val="accent2">
                    <a:tint val="98000"/>
                    <a:hueMod val="94000"/>
                    <a:satMod val="130000"/>
                    <a:lumMod val="128000"/>
                  </a:schemeClr>
                </a:gs>
                <a:gs pos="100000">
                  <a:schemeClr val="accent2">
                    <a:shade val="94000"/>
                    <a:lumMod val="88000"/>
                  </a:schemeClr>
                </a:gs>
              </a:gsLst>
              <a:lin ang="5400000" scaled="0"/>
            </a:gradFill>
            <a:ln w="9525">
              <a:solidFill>
                <a:schemeClr val="accent2"/>
              </a:solid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circle"/>
          <c:size val="6"/>
          <c:spPr>
            <a:gradFill rotWithShape="1">
              <a:gsLst>
                <a:gs pos="0">
                  <a:schemeClr val="accent3">
                    <a:tint val="98000"/>
                    <a:hueMod val="94000"/>
                    <a:satMod val="130000"/>
                    <a:lumMod val="128000"/>
                  </a:schemeClr>
                </a:gs>
                <a:gs pos="100000">
                  <a:schemeClr val="accent3">
                    <a:shade val="94000"/>
                    <a:lumMod val="88000"/>
                  </a:schemeClr>
                </a:gs>
              </a:gsLst>
              <a:lin ang="5400000" scaled="0"/>
            </a:gradFill>
            <a:ln w="9525">
              <a:solidFill>
                <a:schemeClr val="accent3"/>
              </a:solid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circle"/>
          <c:size val="6"/>
          <c:spPr>
            <a:gradFill rotWithShape="1">
              <a:gsLst>
                <a:gs pos="0">
                  <a:schemeClr val="accent4">
                    <a:tint val="98000"/>
                    <a:hueMod val="94000"/>
                    <a:satMod val="130000"/>
                    <a:lumMod val="128000"/>
                  </a:schemeClr>
                </a:gs>
                <a:gs pos="100000">
                  <a:schemeClr val="accent4">
                    <a:shade val="94000"/>
                    <a:lumMod val="88000"/>
                  </a:schemeClr>
                </a:gs>
              </a:gsLst>
              <a:lin ang="5400000" scaled="0"/>
            </a:gradFill>
            <a:ln w="9525">
              <a:solidFill>
                <a:schemeClr val="accent4"/>
              </a:solid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circle"/>
          <c:size val="6"/>
          <c:spPr>
            <a:gradFill rotWithShape="1">
              <a:gsLst>
                <a:gs pos="0">
                  <a:schemeClr val="accent5">
                    <a:tint val="98000"/>
                    <a:hueMod val="94000"/>
                    <a:satMod val="130000"/>
                    <a:lumMod val="128000"/>
                  </a:schemeClr>
                </a:gs>
                <a:gs pos="100000">
                  <a:schemeClr val="accent5">
                    <a:shade val="94000"/>
                    <a:lumMod val="88000"/>
                  </a:schemeClr>
                </a:gs>
              </a:gsLst>
              <a:lin ang="5400000" scaled="0"/>
            </a:gradFill>
            <a:ln w="9525">
              <a:solidFill>
                <a:schemeClr val="accent5"/>
              </a:solid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PivotTable!$B$3:$B$4</c:f>
              <c:strCache>
                <c:ptCount val="1"/>
                <c:pt idx="0">
                  <c:v>Central</c:v>
                </c:pt>
              </c:strCache>
            </c:strRef>
          </c:tx>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invertIfNegative val="0"/>
          <c:cat>
            <c:strRef>
              <c:f>PivotTable!$A$5:$A$9</c:f>
              <c:strCache>
                <c:ptCount val="4"/>
                <c:pt idx="0">
                  <c:v>Security Cameras</c:v>
                </c:pt>
                <c:pt idx="1">
                  <c:v>Smart Lighting</c:v>
                </c:pt>
                <c:pt idx="2">
                  <c:v>Smart Speakers</c:v>
                </c:pt>
                <c:pt idx="3">
                  <c:v>Smart Thermostats</c:v>
                </c:pt>
              </c:strCache>
            </c:strRef>
          </c:cat>
          <c:val>
            <c:numRef>
              <c:f>PivotTable!$B$5:$B$9</c:f>
              <c:numCache>
                <c:formatCode>"₹"\ #,##0.00</c:formatCode>
                <c:ptCount val="4"/>
                <c:pt idx="0">
                  <c:v>18808.800000000003</c:v>
                </c:pt>
                <c:pt idx="1">
                  <c:v>2247.4</c:v>
                </c:pt>
                <c:pt idx="2">
                  <c:v>8483.5400000000009</c:v>
                </c:pt>
                <c:pt idx="3">
                  <c:v>7512.130000000001</c:v>
                </c:pt>
              </c:numCache>
            </c:numRef>
          </c:val>
          <c:extLst>
            <c:ext xmlns:c16="http://schemas.microsoft.com/office/drawing/2014/chart" uri="{C3380CC4-5D6E-409C-BE32-E72D297353CC}">
              <c16:uniqueId val="{00000000-843E-44B3-9F8D-A41C7A1C1701}"/>
            </c:ext>
          </c:extLst>
        </c:ser>
        <c:ser>
          <c:idx val="1"/>
          <c:order val="1"/>
          <c:tx>
            <c:strRef>
              <c:f>PivotTable!$C$3:$C$4</c:f>
              <c:strCache>
                <c:ptCount val="1"/>
                <c:pt idx="0">
                  <c:v>East</c:v>
                </c:pt>
              </c:strCache>
            </c:strRef>
          </c:tx>
          <c:spPr>
            <a:gradFill rotWithShape="1">
              <a:gsLst>
                <a:gs pos="0">
                  <a:schemeClr val="accent2">
                    <a:tint val="98000"/>
                    <a:hueMod val="94000"/>
                    <a:satMod val="130000"/>
                    <a:lumMod val="128000"/>
                  </a:schemeClr>
                </a:gs>
                <a:gs pos="100000">
                  <a:schemeClr val="accent2">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invertIfNegative val="0"/>
          <c:cat>
            <c:strRef>
              <c:f>PivotTable!$A$5:$A$9</c:f>
              <c:strCache>
                <c:ptCount val="4"/>
                <c:pt idx="0">
                  <c:v>Security Cameras</c:v>
                </c:pt>
                <c:pt idx="1">
                  <c:v>Smart Lighting</c:v>
                </c:pt>
                <c:pt idx="2">
                  <c:v>Smart Speakers</c:v>
                </c:pt>
                <c:pt idx="3">
                  <c:v>Smart Thermostats</c:v>
                </c:pt>
              </c:strCache>
            </c:strRef>
          </c:cat>
          <c:val>
            <c:numRef>
              <c:f>PivotTable!$C$5:$C$9</c:f>
              <c:numCache>
                <c:formatCode>"₹"\ #,##0.00</c:formatCode>
                <c:ptCount val="4"/>
                <c:pt idx="0">
                  <c:v>11773.11</c:v>
                </c:pt>
                <c:pt idx="1">
                  <c:v>4114.2300000000005</c:v>
                </c:pt>
                <c:pt idx="2">
                  <c:v>5953.99</c:v>
                </c:pt>
                <c:pt idx="3">
                  <c:v>14688.599999999999</c:v>
                </c:pt>
              </c:numCache>
            </c:numRef>
          </c:val>
          <c:extLst>
            <c:ext xmlns:c16="http://schemas.microsoft.com/office/drawing/2014/chart" uri="{C3380CC4-5D6E-409C-BE32-E72D297353CC}">
              <c16:uniqueId val="{00000006-843E-44B3-9F8D-A41C7A1C1701}"/>
            </c:ext>
          </c:extLst>
        </c:ser>
        <c:ser>
          <c:idx val="2"/>
          <c:order val="2"/>
          <c:tx>
            <c:strRef>
              <c:f>PivotTable!$D$3:$D$4</c:f>
              <c:strCache>
                <c:ptCount val="1"/>
                <c:pt idx="0">
                  <c:v>North</c:v>
                </c:pt>
              </c:strCache>
            </c:strRef>
          </c:tx>
          <c:spPr>
            <a:gradFill rotWithShape="1">
              <a:gsLst>
                <a:gs pos="0">
                  <a:schemeClr val="accent3">
                    <a:tint val="98000"/>
                    <a:hueMod val="94000"/>
                    <a:satMod val="130000"/>
                    <a:lumMod val="128000"/>
                  </a:schemeClr>
                </a:gs>
                <a:gs pos="100000">
                  <a:schemeClr val="accent3">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invertIfNegative val="0"/>
          <c:cat>
            <c:strRef>
              <c:f>PivotTable!$A$5:$A$9</c:f>
              <c:strCache>
                <c:ptCount val="4"/>
                <c:pt idx="0">
                  <c:v>Security Cameras</c:v>
                </c:pt>
                <c:pt idx="1">
                  <c:v>Smart Lighting</c:v>
                </c:pt>
                <c:pt idx="2">
                  <c:v>Smart Speakers</c:v>
                </c:pt>
                <c:pt idx="3">
                  <c:v>Smart Thermostats</c:v>
                </c:pt>
              </c:strCache>
            </c:strRef>
          </c:cat>
          <c:val>
            <c:numRef>
              <c:f>PivotTable!$D$5:$D$9</c:f>
              <c:numCache>
                <c:formatCode>"₹"\ #,##0.00</c:formatCode>
                <c:ptCount val="4"/>
                <c:pt idx="0">
                  <c:v>7922.61</c:v>
                </c:pt>
                <c:pt idx="1">
                  <c:v>3187.2299999999996</c:v>
                </c:pt>
                <c:pt idx="2">
                  <c:v>5613.81</c:v>
                </c:pt>
                <c:pt idx="3">
                  <c:v>7338.86</c:v>
                </c:pt>
              </c:numCache>
            </c:numRef>
          </c:val>
          <c:extLst>
            <c:ext xmlns:c16="http://schemas.microsoft.com/office/drawing/2014/chart" uri="{C3380CC4-5D6E-409C-BE32-E72D297353CC}">
              <c16:uniqueId val="{00000007-843E-44B3-9F8D-A41C7A1C1701}"/>
            </c:ext>
          </c:extLst>
        </c:ser>
        <c:ser>
          <c:idx val="3"/>
          <c:order val="3"/>
          <c:tx>
            <c:strRef>
              <c:f>PivotTable!$E$3:$E$4</c:f>
              <c:strCache>
                <c:ptCount val="1"/>
                <c:pt idx="0">
                  <c:v>South</c:v>
                </c:pt>
              </c:strCache>
            </c:strRef>
          </c:tx>
          <c:spPr>
            <a:gradFill rotWithShape="1">
              <a:gsLst>
                <a:gs pos="0">
                  <a:schemeClr val="accent4">
                    <a:tint val="98000"/>
                    <a:hueMod val="94000"/>
                    <a:satMod val="130000"/>
                    <a:lumMod val="128000"/>
                  </a:schemeClr>
                </a:gs>
                <a:gs pos="100000">
                  <a:schemeClr val="accent4">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invertIfNegative val="0"/>
          <c:cat>
            <c:strRef>
              <c:f>PivotTable!$A$5:$A$9</c:f>
              <c:strCache>
                <c:ptCount val="4"/>
                <c:pt idx="0">
                  <c:v>Security Cameras</c:v>
                </c:pt>
                <c:pt idx="1">
                  <c:v>Smart Lighting</c:v>
                </c:pt>
                <c:pt idx="2">
                  <c:v>Smart Speakers</c:v>
                </c:pt>
                <c:pt idx="3">
                  <c:v>Smart Thermostats</c:v>
                </c:pt>
              </c:strCache>
            </c:strRef>
          </c:cat>
          <c:val>
            <c:numRef>
              <c:f>PivotTable!$E$5:$E$9</c:f>
              <c:numCache>
                <c:formatCode>"₹"\ #,##0.00</c:formatCode>
                <c:ptCount val="4"/>
                <c:pt idx="0">
                  <c:v>10421.83</c:v>
                </c:pt>
                <c:pt idx="1">
                  <c:v>3711.0899999999992</c:v>
                </c:pt>
                <c:pt idx="2">
                  <c:v>8785.27</c:v>
                </c:pt>
                <c:pt idx="3">
                  <c:v>14302.489999999998</c:v>
                </c:pt>
              </c:numCache>
            </c:numRef>
          </c:val>
          <c:extLst>
            <c:ext xmlns:c16="http://schemas.microsoft.com/office/drawing/2014/chart" uri="{C3380CC4-5D6E-409C-BE32-E72D297353CC}">
              <c16:uniqueId val="{00000008-843E-44B3-9F8D-A41C7A1C1701}"/>
            </c:ext>
          </c:extLst>
        </c:ser>
        <c:ser>
          <c:idx val="4"/>
          <c:order val="4"/>
          <c:tx>
            <c:strRef>
              <c:f>PivotTable!$F$3:$F$4</c:f>
              <c:strCache>
                <c:ptCount val="1"/>
                <c:pt idx="0">
                  <c:v>West</c:v>
                </c:pt>
              </c:strCache>
            </c:strRef>
          </c:tx>
          <c:spPr>
            <a:gradFill rotWithShape="1">
              <a:gsLst>
                <a:gs pos="0">
                  <a:schemeClr val="accent5">
                    <a:tint val="98000"/>
                    <a:hueMod val="94000"/>
                    <a:satMod val="130000"/>
                    <a:lumMod val="128000"/>
                  </a:schemeClr>
                </a:gs>
                <a:gs pos="100000">
                  <a:schemeClr val="accent5">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invertIfNegative val="0"/>
          <c:cat>
            <c:strRef>
              <c:f>PivotTable!$A$5:$A$9</c:f>
              <c:strCache>
                <c:ptCount val="4"/>
                <c:pt idx="0">
                  <c:v>Security Cameras</c:v>
                </c:pt>
                <c:pt idx="1">
                  <c:v>Smart Lighting</c:v>
                </c:pt>
                <c:pt idx="2">
                  <c:v>Smart Speakers</c:v>
                </c:pt>
                <c:pt idx="3">
                  <c:v>Smart Thermostats</c:v>
                </c:pt>
              </c:strCache>
            </c:strRef>
          </c:cat>
          <c:val>
            <c:numRef>
              <c:f>PivotTable!$F$5:$F$9</c:f>
              <c:numCache>
                <c:formatCode>"₹"\ #,##0.00</c:formatCode>
                <c:ptCount val="4"/>
                <c:pt idx="0">
                  <c:v>15002.630000000001</c:v>
                </c:pt>
                <c:pt idx="1">
                  <c:v>6619.84</c:v>
                </c:pt>
                <c:pt idx="2">
                  <c:v>9298.2500000000018</c:v>
                </c:pt>
                <c:pt idx="3">
                  <c:v>10177.56</c:v>
                </c:pt>
              </c:numCache>
            </c:numRef>
          </c:val>
          <c:extLst>
            <c:ext xmlns:c16="http://schemas.microsoft.com/office/drawing/2014/chart" uri="{C3380CC4-5D6E-409C-BE32-E72D297353CC}">
              <c16:uniqueId val="{00000009-843E-44B3-9F8D-A41C7A1C1701}"/>
            </c:ext>
          </c:extLst>
        </c:ser>
        <c:dLbls>
          <c:showLegendKey val="0"/>
          <c:showVal val="0"/>
          <c:showCatName val="0"/>
          <c:showSerName val="0"/>
          <c:showPercent val="0"/>
          <c:showBubbleSize val="0"/>
        </c:dLbls>
        <c:gapWidth val="100"/>
        <c:overlap val="-24"/>
        <c:axId val="2060569568"/>
        <c:axId val="2060567648"/>
      </c:barChart>
      <c:catAx>
        <c:axId val="20605695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0567648"/>
        <c:crosses val="autoZero"/>
        <c:auto val="1"/>
        <c:lblAlgn val="ctr"/>
        <c:lblOffset val="100"/>
        <c:noMultiLvlLbl val="0"/>
      </c:catAx>
      <c:valAx>
        <c:axId val="2060567648"/>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0569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[Smart_Home_Tech_Sales_Project.xlsx]PivotTable!PivotTable2</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pivotFmt>
      <c:pivotFmt>
        <c:idx val="27"/>
      </c:pivotFmt>
      <c:pivotFmt>
        <c:idx val="28"/>
      </c:pivotFmt>
      <c:pivotFmt>
        <c:idx val="29"/>
      </c:pivotFmt>
      <c:pivotFmt>
        <c:idx val="30"/>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32"/>
        <c:spPr>
          <a:gradFill rotWithShape="1">
            <a:gsLst>
              <a:gs pos="0">
                <a:schemeClr val="accent2">
                  <a:tint val="98000"/>
                  <a:hueMod val="94000"/>
                  <a:satMod val="130000"/>
                  <a:lumMod val="128000"/>
                </a:schemeClr>
              </a:gs>
              <a:gs pos="100000">
                <a:schemeClr val="accent2">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33"/>
        <c:spPr>
          <a:gradFill rotWithShape="1">
            <a:gsLst>
              <a:gs pos="0">
                <a:schemeClr val="accent3">
                  <a:tint val="98000"/>
                  <a:hueMod val="94000"/>
                  <a:satMod val="130000"/>
                  <a:lumMod val="128000"/>
                </a:schemeClr>
              </a:gs>
              <a:gs pos="100000">
                <a:schemeClr val="accent3">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34"/>
        <c:spPr>
          <a:gradFill rotWithShape="1">
            <a:gsLst>
              <a:gs pos="0">
                <a:schemeClr val="accent4">
                  <a:tint val="98000"/>
                  <a:hueMod val="94000"/>
                  <a:satMod val="130000"/>
                  <a:lumMod val="128000"/>
                </a:schemeClr>
              </a:gs>
              <a:gs pos="100000">
                <a:schemeClr val="accent4">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35"/>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37"/>
        <c:spPr>
          <a:gradFill rotWithShape="1">
            <a:gsLst>
              <a:gs pos="0">
                <a:schemeClr val="accent2">
                  <a:tint val="98000"/>
                  <a:hueMod val="94000"/>
                  <a:satMod val="130000"/>
                  <a:lumMod val="128000"/>
                </a:schemeClr>
              </a:gs>
              <a:gs pos="100000">
                <a:schemeClr val="accent2">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38"/>
        <c:spPr>
          <a:gradFill rotWithShape="1">
            <a:gsLst>
              <a:gs pos="0">
                <a:schemeClr val="accent3">
                  <a:tint val="98000"/>
                  <a:hueMod val="94000"/>
                  <a:satMod val="130000"/>
                  <a:lumMod val="128000"/>
                </a:schemeClr>
              </a:gs>
              <a:gs pos="100000">
                <a:schemeClr val="accent3">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39"/>
        <c:spPr>
          <a:gradFill rotWithShape="1">
            <a:gsLst>
              <a:gs pos="0">
                <a:schemeClr val="accent4">
                  <a:tint val="98000"/>
                  <a:hueMod val="94000"/>
                  <a:satMod val="130000"/>
                  <a:lumMod val="128000"/>
                </a:schemeClr>
              </a:gs>
              <a:gs pos="100000">
                <a:schemeClr val="accent4">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40"/>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42"/>
        <c:spPr>
          <a:gradFill rotWithShape="1">
            <a:gsLst>
              <a:gs pos="0">
                <a:schemeClr val="accent2">
                  <a:tint val="98000"/>
                  <a:hueMod val="94000"/>
                  <a:satMod val="130000"/>
                  <a:lumMod val="128000"/>
                </a:schemeClr>
              </a:gs>
              <a:gs pos="100000">
                <a:schemeClr val="accent2">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43"/>
        <c:spPr>
          <a:gradFill rotWithShape="1">
            <a:gsLst>
              <a:gs pos="0">
                <a:schemeClr val="accent3">
                  <a:tint val="98000"/>
                  <a:hueMod val="94000"/>
                  <a:satMod val="130000"/>
                  <a:lumMod val="128000"/>
                </a:schemeClr>
              </a:gs>
              <a:gs pos="100000">
                <a:schemeClr val="accent3">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44"/>
        <c:spPr>
          <a:gradFill rotWithShape="1">
            <a:gsLst>
              <a:gs pos="0">
                <a:schemeClr val="accent4">
                  <a:tint val="98000"/>
                  <a:hueMod val="94000"/>
                  <a:satMod val="130000"/>
                  <a:lumMod val="128000"/>
                </a:schemeClr>
              </a:gs>
              <a:gs pos="100000">
                <a:schemeClr val="accent4">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45"/>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47"/>
        <c:spPr>
          <a:gradFill rotWithShape="1">
            <a:gsLst>
              <a:gs pos="0">
                <a:schemeClr val="accent2">
                  <a:tint val="98000"/>
                  <a:hueMod val="94000"/>
                  <a:satMod val="130000"/>
                  <a:lumMod val="128000"/>
                </a:schemeClr>
              </a:gs>
              <a:gs pos="100000">
                <a:schemeClr val="accent2">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48"/>
        <c:spPr>
          <a:gradFill rotWithShape="1">
            <a:gsLst>
              <a:gs pos="0">
                <a:schemeClr val="accent3">
                  <a:tint val="98000"/>
                  <a:hueMod val="94000"/>
                  <a:satMod val="130000"/>
                  <a:lumMod val="128000"/>
                </a:schemeClr>
              </a:gs>
              <a:gs pos="100000">
                <a:schemeClr val="accent3">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49"/>
        <c:spPr>
          <a:gradFill rotWithShape="1">
            <a:gsLst>
              <a:gs pos="0">
                <a:schemeClr val="accent4">
                  <a:tint val="98000"/>
                  <a:hueMod val="94000"/>
                  <a:satMod val="130000"/>
                  <a:lumMod val="128000"/>
                </a:schemeClr>
              </a:gs>
              <a:gs pos="100000">
                <a:schemeClr val="accent4">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50"/>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52"/>
        <c:spPr>
          <a:gradFill rotWithShape="1">
            <a:gsLst>
              <a:gs pos="0">
                <a:schemeClr val="accent2">
                  <a:tint val="98000"/>
                  <a:hueMod val="94000"/>
                  <a:satMod val="130000"/>
                  <a:lumMod val="128000"/>
                </a:schemeClr>
              </a:gs>
              <a:gs pos="100000">
                <a:schemeClr val="accent2">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53"/>
        <c:spPr>
          <a:gradFill rotWithShape="1">
            <a:gsLst>
              <a:gs pos="0">
                <a:schemeClr val="accent3">
                  <a:tint val="98000"/>
                  <a:hueMod val="94000"/>
                  <a:satMod val="130000"/>
                  <a:lumMod val="128000"/>
                </a:schemeClr>
              </a:gs>
              <a:gs pos="100000">
                <a:schemeClr val="accent3">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54"/>
        <c:spPr>
          <a:gradFill rotWithShape="1">
            <a:gsLst>
              <a:gs pos="0">
                <a:schemeClr val="accent4">
                  <a:tint val="98000"/>
                  <a:hueMod val="94000"/>
                  <a:satMod val="130000"/>
                  <a:lumMod val="128000"/>
                </a:schemeClr>
              </a:gs>
              <a:gs pos="100000">
                <a:schemeClr val="accent4">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PivotTable!$B$3:$B$4</c:f>
              <c:strCache>
                <c:ptCount val="1"/>
                <c:pt idx="0">
                  <c:v>Central</c:v>
                </c:pt>
              </c:strCache>
            </c:strRef>
          </c:tx>
          <c:dPt>
            <c:idx val="0"/>
            <c:bubble3D val="0"/>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1-6275-4D2D-9011-57CDE611060E}"/>
              </c:ext>
            </c:extLst>
          </c:dPt>
          <c:dPt>
            <c:idx val="1"/>
            <c:bubble3D val="0"/>
            <c:spPr>
              <a:gradFill rotWithShape="1">
                <a:gsLst>
                  <a:gs pos="0">
                    <a:schemeClr val="accent2">
                      <a:tint val="98000"/>
                      <a:hueMod val="94000"/>
                      <a:satMod val="130000"/>
                      <a:lumMod val="128000"/>
                    </a:schemeClr>
                  </a:gs>
                  <a:gs pos="100000">
                    <a:schemeClr val="accent2">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3-6275-4D2D-9011-57CDE611060E}"/>
              </c:ext>
            </c:extLst>
          </c:dPt>
          <c:dPt>
            <c:idx val="2"/>
            <c:bubble3D val="0"/>
            <c:spPr>
              <a:gradFill rotWithShape="1">
                <a:gsLst>
                  <a:gs pos="0">
                    <a:schemeClr val="accent3">
                      <a:tint val="98000"/>
                      <a:hueMod val="94000"/>
                      <a:satMod val="130000"/>
                      <a:lumMod val="128000"/>
                    </a:schemeClr>
                  </a:gs>
                  <a:gs pos="100000">
                    <a:schemeClr val="accent3">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5-6275-4D2D-9011-57CDE611060E}"/>
              </c:ext>
            </c:extLst>
          </c:dPt>
          <c:dPt>
            <c:idx val="3"/>
            <c:bubble3D val="0"/>
            <c:spPr>
              <a:gradFill rotWithShape="1">
                <a:gsLst>
                  <a:gs pos="0">
                    <a:schemeClr val="accent4">
                      <a:tint val="98000"/>
                      <a:hueMod val="94000"/>
                      <a:satMod val="130000"/>
                      <a:lumMod val="128000"/>
                    </a:schemeClr>
                  </a:gs>
                  <a:gs pos="100000">
                    <a:schemeClr val="accent4">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7-6275-4D2D-9011-57CDE611060E}"/>
              </c:ext>
            </c:extLst>
          </c:dPt>
          <c:cat>
            <c:strRef>
              <c:f>PivotTable!$A$5:$A$9</c:f>
              <c:strCache>
                <c:ptCount val="4"/>
                <c:pt idx="0">
                  <c:v>Security Cameras</c:v>
                </c:pt>
                <c:pt idx="1">
                  <c:v>Smart Lighting</c:v>
                </c:pt>
                <c:pt idx="2">
                  <c:v>Smart Speakers</c:v>
                </c:pt>
                <c:pt idx="3">
                  <c:v>Smart Thermostats</c:v>
                </c:pt>
              </c:strCache>
            </c:strRef>
          </c:cat>
          <c:val>
            <c:numRef>
              <c:f>PivotTable!$B$5:$B$9</c:f>
              <c:numCache>
                <c:formatCode>"₹"\ #,##0.00</c:formatCode>
                <c:ptCount val="4"/>
                <c:pt idx="0">
                  <c:v>18808.800000000003</c:v>
                </c:pt>
                <c:pt idx="1">
                  <c:v>2247.4</c:v>
                </c:pt>
                <c:pt idx="2">
                  <c:v>8483.5400000000009</c:v>
                </c:pt>
                <c:pt idx="3">
                  <c:v>7512.130000000001</c:v>
                </c:pt>
              </c:numCache>
            </c:numRef>
          </c:val>
          <c:extLst>
            <c:ext xmlns:c16="http://schemas.microsoft.com/office/drawing/2014/chart" uri="{C3380CC4-5D6E-409C-BE32-E72D297353CC}">
              <c16:uniqueId val="{00000008-6275-4D2D-9011-57CDE611060E}"/>
            </c:ext>
          </c:extLst>
        </c:ser>
        <c:ser>
          <c:idx val="1"/>
          <c:order val="1"/>
          <c:tx>
            <c:strRef>
              <c:f>PivotTable!$C$3:$C$4</c:f>
              <c:strCache>
                <c:ptCount val="1"/>
                <c:pt idx="0">
                  <c:v>East</c:v>
                </c:pt>
              </c:strCache>
            </c:strRef>
          </c:tx>
          <c:dPt>
            <c:idx val="0"/>
            <c:bubble3D val="0"/>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A-6275-4D2D-9011-57CDE611060E}"/>
              </c:ext>
            </c:extLst>
          </c:dPt>
          <c:dPt>
            <c:idx val="1"/>
            <c:bubble3D val="0"/>
            <c:spPr>
              <a:gradFill rotWithShape="1">
                <a:gsLst>
                  <a:gs pos="0">
                    <a:schemeClr val="accent2">
                      <a:tint val="98000"/>
                      <a:hueMod val="94000"/>
                      <a:satMod val="130000"/>
                      <a:lumMod val="128000"/>
                    </a:schemeClr>
                  </a:gs>
                  <a:gs pos="100000">
                    <a:schemeClr val="accent2">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C-6275-4D2D-9011-57CDE611060E}"/>
              </c:ext>
            </c:extLst>
          </c:dPt>
          <c:dPt>
            <c:idx val="2"/>
            <c:bubble3D val="0"/>
            <c:spPr>
              <a:gradFill rotWithShape="1">
                <a:gsLst>
                  <a:gs pos="0">
                    <a:schemeClr val="accent3">
                      <a:tint val="98000"/>
                      <a:hueMod val="94000"/>
                      <a:satMod val="130000"/>
                      <a:lumMod val="128000"/>
                    </a:schemeClr>
                  </a:gs>
                  <a:gs pos="100000">
                    <a:schemeClr val="accent3">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E-6275-4D2D-9011-57CDE611060E}"/>
              </c:ext>
            </c:extLst>
          </c:dPt>
          <c:dPt>
            <c:idx val="3"/>
            <c:bubble3D val="0"/>
            <c:spPr>
              <a:gradFill rotWithShape="1">
                <a:gsLst>
                  <a:gs pos="0">
                    <a:schemeClr val="accent4">
                      <a:tint val="98000"/>
                      <a:hueMod val="94000"/>
                      <a:satMod val="130000"/>
                      <a:lumMod val="128000"/>
                    </a:schemeClr>
                  </a:gs>
                  <a:gs pos="100000">
                    <a:schemeClr val="accent4">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10-6275-4D2D-9011-57CDE611060E}"/>
              </c:ext>
            </c:extLst>
          </c:dPt>
          <c:cat>
            <c:strRef>
              <c:f>PivotTable!$A$5:$A$9</c:f>
              <c:strCache>
                <c:ptCount val="4"/>
                <c:pt idx="0">
                  <c:v>Security Cameras</c:v>
                </c:pt>
                <c:pt idx="1">
                  <c:v>Smart Lighting</c:v>
                </c:pt>
                <c:pt idx="2">
                  <c:v>Smart Speakers</c:v>
                </c:pt>
                <c:pt idx="3">
                  <c:v>Smart Thermostats</c:v>
                </c:pt>
              </c:strCache>
            </c:strRef>
          </c:cat>
          <c:val>
            <c:numRef>
              <c:f>PivotTable!$C$5:$C$9</c:f>
              <c:numCache>
                <c:formatCode>"₹"\ #,##0.00</c:formatCode>
                <c:ptCount val="4"/>
                <c:pt idx="0">
                  <c:v>11773.11</c:v>
                </c:pt>
                <c:pt idx="1">
                  <c:v>4114.2300000000005</c:v>
                </c:pt>
                <c:pt idx="2">
                  <c:v>5953.99</c:v>
                </c:pt>
                <c:pt idx="3">
                  <c:v>14688.599999999999</c:v>
                </c:pt>
              </c:numCache>
            </c:numRef>
          </c:val>
          <c:extLst>
            <c:ext xmlns:c16="http://schemas.microsoft.com/office/drawing/2014/chart" uri="{C3380CC4-5D6E-409C-BE32-E72D297353CC}">
              <c16:uniqueId val="{00000011-6275-4D2D-9011-57CDE611060E}"/>
            </c:ext>
          </c:extLst>
        </c:ser>
        <c:ser>
          <c:idx val="2"/>
          <c:order val="2"/>
          <c:tx>
            <c:strRef>
              <c:f>PivotTable!$D$3:$D$4</c:f>
              <c:strCache>
                <c:ptCount val="1"/>
                <c:pt idx="0">
                  <c:v>North</c:v>
                </c:pt>
              </c:strCache>
            </c:strRef>
          </c:tx>
          <c:dPt>
            <c:idx val="0"/>
            <c:bubble3D val="0"/>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13-6275-4D2D-9011-57CDE611060E}"/>
              </c:ext>
            </c:extLst>
          </c:dPt>
          <c:dPt>
            <c:idx val="1"/>
            <c:bubble3D val="0"/>
            <c:spPr>
              <a:gradFill rotWithShape="1">
                <a:gsLst>
                  <a:gs pos="0">
                    <a:schemeClr val="accent2">
                      <a:tint val="98000"/>
                      <a:hueMod val="94000"/>
                      <a:satMod val="130000"/>
                      <a:lumMod val="128000"/>
                    </a:schemeClr>
                  </a:gs>
                  <a:gs pos="100000">
                    <a:schemeClr val="accent2">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15-6275-4D2D-9011-57CDE611060E}"/>
              </c:ext>
            </c:extLst>
          </c:dPt>
          <c:dPt>
            <c:idx val="2"/>
            <c:bubble3D val="0"/>
            <c:spPr>
              <a:gradFill rotWithShape="1">
                <a:gsLst>
                  <a:gs pos="0">
                    <a:schemeClr val="accent3">
                      <a:tint val="98000"/>
                      <a:hueMod val="94000"/>
                      <a:satMod val="130000"/>
                      <a:lumMod val="128000"/>
                    </a:schemeClr>
                  </a:gs>
                  <a:gs pos="100000">
                    <a:schemeClr val="accent3">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17-6275-4D2D-9011-57CDE611060E}"/>
              </c:ext>
            </c:extLst>
          </c:dPt>
          <c:dPt>
            <c:idx val="3"/>
            <c:bubble3D val="0"/>
            <c:spPr>
              <a:gradFill rotWithShape="1">
                <a:gsLst>
                  <a:gs pos="0">
                    <a:schemeClr val="accent4">
                      <a:tint val="98000"/>
                      <a:hueMod val="94000"/>
                      <a:satMod val="130000"/>
                      <a:lumMod val="128000"/>
                    </a:schemeClr>
                  </a:gs>
                  <a:gs pos="100000">
                    <a:schemeClr val="accent4">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19-6275-4D2D-9011-57CDE611060E}"/>
              </c:ext>
            </c:extLst>
          </c:dPt>
          <c:cat>
            <c:strRef>
              <c:f>PivotTable!$A$5:$A$9</c:f>
              <c:strCache>
                <c:ptCount val="4"/>
                <c:pt idx="0">
                  <c:v>Security Cameras</c:v>
                </c:pt>
                <c:pt idx="1">
                  <c:v>Smart Lighting</c:v>
                </c:pt>
                <c:pt idx="2">
                  <c:v>Smart Speakers</c:v>
                </c:pt>
                <c:pt idx="3">
                  <c:v>Smart Thermostats</c:v>
                </c:pt>
              </c:strCache>
            </c:strRef>
          </c:cat>
          <c:val>
            <c:numRef>
              <c:f>PivotTable!$D$5:$D$9</c:f>
              <c:numCache>
                <c:formatCode>"₹"\ #,##0.00</c:formatCode>
                <c:ptCount val="4"/>
                <c:pt idx="0">
                  <c:v>7922.61</c:v>
                </c:pt>
                <c:pt idx="1">
                  <c:v>3187.2299999999996</c:v>
                </c:pt>
                <c:pt idx="2">
                  <c:v>5613.81</c:v>
                </c:pt>
                <c:pt idx="3">
                  <c:v>7338.86</c:v>
                </c:pt>
              </c:numCache>
            </c:numRef>
          </c:val>
          <c:extLst>
            <c:ext xmlns:c16="http://schemas.microsoft.com/office/drawing/2014/chart" uri="{C3380CC4-5D6E-409C-BE32-E72D297353CC}">
              <c16:uniqueId val="{0000001A-6275-4D2D-9011-57CDE611060E}"/>
            </c:ext>
          </c:extLst>
        </c:ser>
        <c:ser>
          <c:idx val="3"/>
          <c:order val="3"/>
          <c:tx>
            <c:strRef>
              <c:f>PivotTable!$E$3:$E$4</c:f>
              <c:strCache>
                <c:ptCount val="1"/>
                <c:pt idx="0">
                  <c:v>South</c:v>
                </c:pt>
              </c:strCache>
            </c:strRef>
          </c:tx>
          <c:dPt>
            <c:idx val="0"/>
            <c:bubble3D val="0"/>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1C-6275-4D2D-9011-57CDE611060E}"/>
              </c:ext>
            </c:extLst>
          </c:dPt>
          <c:dPt>
            <c:idx val="1"/>
            <c:bubble3D val="0"/>
            <c:spPr>
              <a:gradFill rotWithShape="1">
                <a:gsLst>
                  <a:gs pos="0">
                    <a:schemeClr val="accent2">
                      <a:tint val="98000"/>
                      <a:hueMod val="94000"/>
                      <a:satMod val="130000"/>
                      <a:lumMod val="128000"/>
                    </a:schemeClr>
                  </a:gs>
                  <a:gs pos="100000">
                    <a:schemeClr val="accent2">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1E-6275-4D2D-9011-57CDE611060E}"/>
              </c:ext>
            </c:extLst>
          </c:dPt>
          <c:dPt>
            <c:idx val="2"/>
            <c:bubble3D val="0"/>
            <c:spPr>
              <a:gradFill rotWithShape="1">
                <a:gsLst>
                  <a:gs pos="0">
                    <a:schemeClr val="accent3">
                      <a:tint val="98000"/>
                      <a:hueMod val="94000"/>
                      <a:satMod val="130000"/>
                      <a:lumMod val="128000"/>
                    </a:schemeClr>
                  </a:gs>
                  <a:gs pos="100000">
                    <a:schemeClr val="accent3">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20-6275-4D2D-9011-57CDE611060E}"/>
              </c:ext>
            </c:extLst>
          </c:dPt>
          <c:dPt>
            <c:idx val="3"/>
            <c:bubble3D val="0"/>
            <c:spPr>
              <a:gradFill rotWithShape="1">
                <a:gsLst>
                  <a:gs pos="0">
                    <a:schemeClr val="accent4">
                      <a:tint val="98000"/>
                      <a:hueMod val="94000"/>
                      <a:satMod val="130000"/>
                      <a:lumMod val="128000"/>
                    </a:schemeClr>
                  </a:gs>
                  <a:gs pos="100000">
                    <a:schemeClr val="accent4">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22-6275-4D2D-9011-57CDE611060E}"/>
              </c:ext>
            </c:extLst>
          </c:dPt>
          <c:cat>
            <c:strRef>
              <c:f>PivotTable!$A$5:$A$9</c:f>
              <c:strCache>
                <c:ptCount val="4"/>
                <c:pt idx="0">
                  <c:v>Security Cameras</c:v>
                </c:pt>
                <c:pt idx="1">
                  <c:v>Smart Lighting</c:v>
                </c:pt>
                <c:pt idx="2">
                  <c:v>Smart Speakers</c:v>
                </c:pt>
                <c:pt idx="3">
                  <c:v>Smart Thermostats</c:v>
                </c:pt>
              </c:strCache>
            </c:strRef>
          </c:cat>
          <c:val>
            <c:numRef>
              <c:f>PivotTable!$E$5:$E$9</c:f>
              <c:numCache>
                <c:formatCode>"₹"\ #,##0.00</c:formatCode>
                <c:ptCount val="4"/>
                <c:pt idx="0">
                  <c:v>10421.83</c:v>
                </c:pt>
                <c:pt idx="1">
                  <c:v>3711.0899999999992</c:v>
                </c:pt>
                <c:pt idx="2">
                  <c:v>8785.27</c:v>
                </c:pt>
                <c:pt idx="3">
                  <c:v>14302.489999999998</c:v>
                </c:pt>
              </c:numCache>
            </c:numRef>
          </c:val>
          <c:extLst>
            <c:ext xmlns:c16="http://schemas.microsoft.com/office/drawing/2014/chart" uri="{C3380CC4-5D6E-409C-BE32-E72D297353CC}">
              <c16:uniqueId val="{00000023-6275-4D2D-9011-57CDE611060E}"/>
            </c:ext>
          </c:extLst>
        </c:ser>
        <c:ser>
          <c:idx val="4"/>
          <c:order val="4"/>
          <c:tx>
            <c:strRef>
              <c:f>PivotTable!$F$3:$F$4</c:f>
              <c:strCache>
                <c:ptCount val="1"/>
                <c:pt idx="0">
                  <c:v>West</c:v>
                </c:pt>
              </c:strCache>
            </c:strRef>
          </c:tx>
          <c:dPt>
            <c:idx val="0"/>
            <c:bubble3D val="0"/>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25-6275-4D2D-9011-57CDE611060E}"/>
              </c:ext>
            </c:extLst>
          </c:dPt>
          <c:dPt>
            <c:idx val="1"/>
            <c:bubble3D val="0"/>
            <c:spPr>
              <a:gradFill rotWithShape="1">
                <a:gsLst>
                  <a:gs pos="0">
                    <a:schemeClr val="accent2">
                      <a:tint val="98000"/>
                      <a:hueMod val="94000"/>
                      <a:satMod val="130000"/>
                      <a:lumMod val="128000"/>
                    </a:schemeClr>
                  </a:gs>
                  <a:gs pos="100000">
                    <a:schemeClr val="accent2">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27-6275-4D2D-9011-57CDE611060E}"/>
              </c:ext>
            </c:extLst>
          </c:dPt>
          <c:dPt>
            <c:idx val="2"/>
            <c:bubble3D val="0"/>
            <c:spPr>
              <a:gradFill rotWithShape="1">
                <a:gsLst>
                  <a:gs pos="0">
                    <a:schemeClr val="accent3">
                      <a:tint val="98000"/>
                      <a:hueMod val="94000"/>
                      <a:satMod val="130000"/>
                      <a:lumMod val="128000"/>
                    </a:schemeClr>
                  </a:gs>
                  <a:gs pos="100000">
                    <a:schemeClr val="accent3">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29-6275-4D2D-9011-57CDE611060E}"/>
              </c:ext>
            </c:extLst>
          </c:dPt>
          <c:dPt>
            <c:idx val="3"/>
            <c:bubble3D val="0"/>
            <c:spPr>
              <a:gradFill rotWithShape="1">
                <a:gsLst>
                  <a:gs pos="0">
                    <a:schemeClr val="accent4">
                      <a:tint val="98000"/>
                      <a:hueMod val="94000"/>
                      <a:satMod val="130000"/>
                      <a:lumMod val="128000"/>
                    </a:schemeClr>
                  </a:gs>
                  <a:gs pos="100000">
                    <a:schemeClr val="accent4">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2B-6275-4D2D-9011-57CDE611060E}"/>
              </c:ext>
            </c:extLst>
          </c:dPt>
          <c:cat>
            <c:strRef>
              <c:f>PivotTable!$A$5:$A$9</c:f>
              <c:strCache>
                <c:ptCount val="4"/>
                <c:pt idx="0">
                  <c:v>Security Cameras</c:v>
                </c:pt>
                <c:pt idx="1">
                  <c:v>Smart Lighting</c:v>
                </c:pt>
                <c:pt idx="2">
                  <c:v>Smart Speakers</c:v>
                </c:pt>
                <c:pt idx="3">
                  <c:v>Smart Thermostats</c:v>
                </c:pt>
              </c:strCache>
            </c:strRef>
          </c:cat>
          <c:val>
            <c:numRef>
              <c:f>PivotTable!$F$5:$F$9</c:f>
              <c:numCache>
                <c:formatCode>"₹"\ #,##0.00</c:formatCode>
                <c:ptCount val="4"/>
                <c:pt idx="0">
                  <c:v>15002.630000000001</c:v>
                </c:pt>
                <c:pt idx="1">
                  <c:v>6619.84</c:v>
                </c:pt>
                <c:pt idx="2">
                  <c:v>9298.2500000000018</c:v>
                </c:pt>
                <c:pt idx="3">
                  <c:v>10177.56</c:v>
                </c:pt>
              </c:numCache>
            </c:numRef>
          </c:val>
          <c:extLst>
            <c:ext xmlns:c16="http://schemas.microsoft.com/office/drawing/2014/chart" uri="{C3380CC4-5D6E-409C-BE32-E72D297353CC}">
              <c16:uniqueId val="{0000002C-6275-4D2D-9011-57CDE611060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MonthlySales!$A$3:$A$8</c:f>
              <c:numCache>
                <c:formatCode>m/d/yyyy</c:formatCode>
                <c:ptCount val="6"/>
                <c:pt idx="0">
                  <c:v>46023</c:v>
                </c:pt>
                <c:pt idx="1">
                  <c:v>46054</c:v>
                </c:pt>
                <c:pt idx="2">
                  <c:v>46082</c:v>
                </c:pt>
                <c:pt idx="3">
                  <c:v>46113</c:v>
                </c:pt>
                <c:pt idx="4">
                  <c:v>46143</c:v>
                </c:pt>
                <c:pt idx="5">
                  <c:v>46174</c:v>
                </c:pt>
              </c:numCache>
            </c:numRef>
          </c:cat>
          <c:val>
            <c:numRef>
              <c:f>MonthlySales!$B$3:$B$8</c:f>
              <c:numCache>
                <c:formatCode>General</c:formatCode>
                <c:ptCount val="6"/>
                <c:pt idx="0">
                  <c:v>37627.840000000011</c:v>
                </c:pt>
                <c:pt idx="1">
                  <c:v>26776.249999999996</c:v>
                </c:pt>
                <c:pt idx="2">
                  <c:v>22263.65</c:v>
                </c:pt>
                <c:pt idx="3">
                  <c:v>30684.029999999995</c:v>
                </c:pt>
                <c:pt idx="4">
                  <c:v>24799.679999999997</c:v>
                </c:pt>
                <c:pt idx="5">
                  <c:v>33811.820000000007</c:v>
                </c:pt>
              </c:numCache>
            </c:numRef>
          </c:val>
          <c:smooth val="0"/>
          <c:extLst>
            <c:ext xmlns:c16="http://schemas.microsoft.com/office/drawing/2014/chart" uri="{C3380CC4-5D6E-409C-BE32-E72D297353CC}">
              <c16:uniqueId val="{00000000-6FA2-4D38-B47B-45824CD30C52}"/>
            </c:ext>
          </c:extLst>
        </c:ser>
        <c:ser>
          <c:idx val="1"/>
          <c:order val="1"/>
          <c:spPr>
            <a:ln w="28575" cap="rnd">
              <a:solidFill>
                <a:schemeClr val="accent2"/>
              </a:solidFill>
              <a:round/>
            </a:ln>
            <a:effectLst/>
          </c:spPr>
          <c:marker>
            <c:symbol val="none"/>
          </c:marker>
          <c:cat>
            <c:numRef>
              <c:f>MonthlySales!$A$3:$A$8</c:f>
              <c:numCache>
                <c:formatCode>m/d/yyyy</c:formatCode>
                <c:ptCount val="6"/>
                <c:pt idx="0">
                  <c:v>46023</c:v>
                </c:pt>
                <c:pt idx="1">
                  <c:v>46054</c:v>
                </c:pt>
                <c:pt idx="2">
                  <c:v>46082</c:v>
                </c:pt>
                <c:pt idx="3">
                  <c:v>46113</c:v>
                </c:pt>
                <c:pt idx="4">
                  <c:v>46143</c:v>
                </c:pt>
                <c:pt idx="5">
                  <c:v>46174</c:v>
                </c:pt>
              </c:numCache>
            </c:numRef>
          </c:cat>
          <c:val>
            <c:numRef>
              <c:f>MonthlySales!$C$3:$C$8</c:f>
              <c:numCache>
                <c:formatCode>General</c:formatCode>
                <c:ptCount val="6"/>
                <c:pt idx="0">
                  <c:v>9727.0099999999984</c:v>
                </c:pt>
                <c:pt idx="1">
                  <c:v>6625.670000000001</c:v>
                </c:pt>
                <c:pt idx="2">
                  <c:v>5812.6499999999987</c:v>
                </c:pt>
                <c:pt idx="3">
                  <c:v>7413.0399999999991</c:v>
                </c:pt>
                <c:pt idx="4">
                  <c:v>6380.2000000000007</c:v>
                </c:pt>
                <c:pt idx="5">
                  <c:v>8429.619999999999</c:v>
                </c:pt>
              </c:numCache>
            </c:numRef>
          </c:val>
          <c:smooth val="0"/>
          <c:extLst>
            <c:ext xmlns:c16="http://schemas.microsoft.com/office/drawing/2014/chart" uri="{C3380CC4-5D6E-409C-BE32-E72D297353CC}">
              <c16:uniqueId val="{00000001-6FA2-4D38-B47B-45824CD30C52}"/>
            </c:ext>
          </c:extLst>
        </c:ser>
        <c:ser>
          <c:idx val="2"/>
          <c:order val="2"/>
          <c:spPr>
            <a:ln w="28575" cap="rnd">
              <a:solidFill>
                <a:schemeClr val="accent3"/>
              </a:solidFill>
              <a:round/>
            </a:ln>
            <a:effectLst/>
          </c:spPr>
          <c:marker>
            <c:symbol val="none"/>
          </c:marker>
          <c:cat>
            <c:numRef>
              <c:f>MonthlySales!$A$3:$A$8</c:f>
              <c:numCache>
                <c:formatCode>m/d/yyyy</c:formatCode>
                <c:ptCount val="6"/>
                <c:pt idx="0">
                  <c:v>46023</c:v>
                </c:pt>
                <c:pt idx="1">
                  <c:v>46054</c:v>
                </c:pt>
                <c:pt idx="2">
                  <c:v>46082</c:v>
                </c:pt>
                <c:pt idx="3">
                  <c:v>46113</c:v>
                </c:pt>
                <c:pt idx="4">
                  <c:v>46143</c:v>
                </c:pt>
                <c:pt idx="5">
                  <c:v>46174</c:v>
                </c:pt>
              </c:numCache>
            </c:numRef>
          </c:cat>
          <c:val>
            <c:numRef>
              <c:f>MonthlySales!$D$3:$D$8</c:f>
              <c:numCache>
                <c:formatCode>[Green]\▲\ 0%;[Red]\▼\ \-0%;0%</c:formatCode>
                <c:ptCount val="6"/>
                <c:pt idx="0">
                  <c:v>-0.2883925837890246</c:v>
                </c:pt>
                <c:pt idx="1">
                  <c:v>-0.16852994724802747</c:v>
                </c:pt>
                <c:pt idx="2">
                  <c:v>0.37821201824498646</c:v>
                </c:pt>
                <c:pt idx="3">
                  <c:v>-0.19177239756316231</c:v>
                </c:pt>
                <c:pt idx="4">
                  <c:v>0.36339743093459315</c:v>
                </c:pt>
                <c:pt idx="5">
                  <c:v>-1</c:v>
                </c:pt>
              </c:numCache>
            </c:numRef>
          </c:val>
          <c:smooth val="0"/>
          <c:extLst>
            <c:ext xmlns:c16="http://schemas.microsoft.com/office/drawing/2014/chart" uri="{C3380CC4-5D6E-409C-BE32-E72D297353CC}">
              <c16:uniqueId val="{00000002-6FA2-4D38-B47B-45824CD30C52}"/>
            </c:ext>
          </c:extLst>
        </c:ser>
        <c:dLbls>
          <c:showLegendKey val="0"/>
          <c:showVal val="0"/>
          <c:showCatName val="0"/>
          <c:showSerName val="0"/>
          <c:showPercent val="0"/>
          <c:showBubbleSize val="0"/>
        </c:dLbls>
        <c:smooth val="0"/>
        <c:axId val="17813888"/>
        <c:axId val="17810528"/>
      </c:lineChart>
      <c:dateAx>
        <c:axId val="1781388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0528"/>
        <c:crosses val="autoZero"/>
        <c:auto val="1"/>
        <c:lblOffset val="100"/>
        <c:baseTimeUnit val="months"/>
      </c:dateAx>
      <c:valAx>
        <c:axId val="17810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247650</xdr:colOff>
      <xdr:row>6</xdr:row>
      <xdr:rowOff>107950</xdr:rowOff>
    </xdr:from>
    <xdr:to>
      <xdr:col>8</xdr:col>
      <xdr:colOff>19050</xdr:colOff>
      <xdr:row>21</xdr:row>
      <xdr:rowOff>139700</xdr:rowOff>
    </xdr:to>
    <xdr:graphicFrame macro="">
      <xdr:nvGraphicFramePr>
        <xdr:cNvPr id="2" name="Chart 1">
          <a:extLst>
            <a:ext uri="{FF2B5EF4-FFF2-40B4-BE49-F238E27FC236}">
              <a16:creationId xmlns:a16="http://schemas.microsoft.com/office/drawing/2014/main" id="{475464AB-13BE-4BBC-839C-B25471023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647700</xdr:colOff>
      <xdr:row>6</xdr:row>
      <xdr:rowOff>107950</xdr:rowOff>
    </xdr:from>
    <xdr:to>
      <xdr:col>15</xdr:col>
      <xdr:colOff>292100</xdr:colOff>
      <xdr:row>21</xdr:row>
      <xdr:rowOff>139700</xdr:rowOff>
    </xdr:to>
    <xdr:graphicFrame macro="">
      <xdr:nvGraphicFramePr>
        <xdr:cNvPr id="3" name="Chart 2">
          <a:extLst>
            <a:ext uri="{FF2B5EF4-FFF2-40B4-BE49-F238E27FC236}">
              <a16:creationId xmlns:a16="http://schemas.microsoft.com/office/drawing/2014/main" id="{A49C7398-01D9-40DD-89D9-4450157AA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425450</xdr:colOff>
      <xdr:row>3</xdr:row>
      <xdr:rowOff>69850</xdr:rowOff>
    </xdr:from>
    <xdr:to>
      <xdr:col>9</xdr:col>
      <xdr:colOff>514350</xdr:colOff>
      <xdr:row>6</xdr:row>
      <xdr:rowOff>95250</xdr:rowOff>
    </xdr:to>
    <xdr:sp macro="" textlink="">
      <xdr:nvSpPr>
        <xdr:cNvPr id="9" name="Rectangle: Rounded Corners 8">
          <a:extLst>
            <a:ext uri="{FF2B5EF4-FFF2-40B4-BE49-F238E27FC236}">
              <a16:creationId xmlns:a16="http://schemas.microsoft.com/office/drawing/2014/main" id="{FB2B7884-80A6-46F0-855A-EC6B250CA2E6}"/>
            </a:ext>
          </a:extLst>
        </xdr:cNvPr>
        <xdr:cNvSpPr/>
      </xdr:nvSpPr>
      <xdr:spPr>
        <a:xfrm>
          <a:off x="5676900" y="584200"/>
          <a:ext cx="1409700" cy="539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b="0" i="0" u="none" strike="noStrike">
              <a:solidFill>
                <a:schemeClr val="lt1"/>
              </a:solidFill>
              <a:effectLst/>
              <a:latin typeface="+mn-lt"/>
              <a:ea typeface="+mn-ea"/>
              <a:cs typeface="+mn-cs"/>
            </a:rPr>
            <a:t>Avg Discount: 9.73% </a:t>
          </a:r>
        </a:p>
      </xdr:txBody>
    </xdr:sp>
    <xdr:clientData/>
  </xdr:twoCellAnchor>
  <xdr:twoCellAnchor>
    <xdr:from>
      <xdr:col>5</xdr:col>
      <xdr:colOff>546100</xdr:colOff>
      <xdr:row>3</xdr:row>
      <xdr:rowOff>82550</xdr:rowOff>
    </xdr:from>
    <xdr:to>
      <xdr:col>7</xdr:col>
      <xdr:colOff>419100</xdr:colOff>
      <xdr:row>6</xdr:row>
      <xdr:rowOff>107950</xdr:rowOff>
    </xdr:to>
    <xdr:sp macro="" textlink="">
      <xdr:nvSpPr>
        <xdr:cNvPr id="12" name="Rectangle: Rounded Corners 11">
          <a:extLst>
            <a:ext uri="{FF2B5EF4-FFF2-40B4-BE49-F238E27FC236}">
              <a16:creationId xmlns:a16="http://schemas.microsoft.com/office/drawing/2014/main" id="{5809339A-BEC8-429F-80DB-27609BC962EB}"/>
            </a:ext>
          </a:extLst>
        </xdr:cNvPr>
        <xdr:cNvSpPr/>
      </xdr:nvSpPr>
      <xdr:spPr>
        <a:xfrm>
          <a:off x="4260850" y="596900"/>
          <a:ext cx="1409700" cy="539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100" b="0" i="0">
              <a:solidFill>
                <a:schemeClr val="lt1"/>
              </a:solidFill>
              <a:effectLst/>
              <a:latin typeface="+mn-lt"/>
              <a:ea typeface="+mn-ea"/>
              <a:cs typeface="+mn-cs"/>
            </a:rPr>
            <a:t>Total Profit:</a:t>
          </a:r>
          <a:r>
            <a:rPr lang="en-IN" sz="1100">
              <a:solidFill>
                <a:schemeClr val="lt1"/>
              </a:solidFill>
              <a:effectLst/>
              <a:latin typeface="+mn-lt"/>
              <a:ea typeface="+mn-ea"/>
              <a:cs typeface="+mn-cs"/>
            </a:rPr>
            <a:t> </a:t>
          </a:r>
          <a:r>
            <a:rPr lang="en-IN" sz="1100" b="0" i="0">
              <a:solidFill>
                <a:schemeClr val="lt1"/>
              </a:solidFill>
              <a:effectLst/>
              <a:latin typeface="+mn-lt"/>
              <a:ea typeface="+mn-ea"/>
              <a:cs typeface="+mn-cs"/>
            </a:rPr>
            <a:t>44388.19</a:t>
          </a:r>
          <a:r>
            <a:rPr lang="en-IN" sz="1100">
              <a:solidFill>
                <a:schemeClr val="lt1"/>
              </a:solidFill>
              <a:effectLst/>
              <a:latin typeface="+mn-lt"/>
              <a:ea typeface="+mn-ea"/>
              <a:cs typeface="+mn-cs"/>
            </a:rPr>
            <a:t> </a:t>
          </a:r>
          <a:endParaRPr lang="en-IN">
            <a:effectLst/>
          </a:endParaRPr>
        </a:p>
      </xdr:txBody>
    </xdr:sp>
    <xdr:clientData/>
  </xdr:twoCellAnchor>
  <xdr:twoCellAnchor>
    <xdr:from>
      <xdr:col>9</xdr:col>
      <xdr:colOff>520700</xdr:colOff>
      <xdr:row>3</xdr:row>
      <xdr:rowOff>69850</xdr:rowOff>
    </xdr:from>
    <xdr:to>
      <xdr:col>11</xdr:col>
      <xdr:colOff>609600</xdr:colOff>
      <xdr:row>6</xdr:row>
      <xdr:rowOff>95250</xdr:rowOff>
    </xdr:to>
    <xdr:sp macro="" textlink="">
      <xdr:nvSpPr>
        <xdr:cNvPr id="13" name="Rectangle: Rounded Corners 12">
          <a:extLst>
            <a:ext uri="{FF2B5EF4-FFF2-40B4-BE49-F238E27FC236}">
              <a16:creationId xmlns:a16="http://schemas.microsoft.com/office/drawing/2014/main" id="{D0D7B6D2-ED52-4E6E-B6CD-08F84293C0E3}"/>
            </a:ext>
          </a:extLst>
        </xdr:cNvPr>
        <xdr:cNvSpPr/>
      </xdr:nvSpPr>
      <xdr:spPr>
        <a:xfrm>
          <a:off x="7092950" y="584200"/>
          <a:ext cx="1409700" cy="539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100" b="0" i="0">
              <a:solidFill>
                <a:schemeClr val="lt1"/>
              </a:solidFill>
              <a:effectLst/>
              <a:latin typeface="+mn-lt"/>
              <a:ea typeface="+mn-ea"/>
              <a:cs typeface="+mn-cs"/>
            </a:rPr>
            <a:t>Total Orders:</a:t>
          </a:r>
          <a:r>
            <a:rPr lang="en-IN" sz="1100">
              <a:solidFill>
                <a:schemeClr val="lt1"/>
              </a:solidFill>
              <a:effectLst/>
              <a:latin typeface="+mn-lt"/>
              <a:ea typeface="+mn-ea"/>
              <a:cs typeface="+mn-cs"/>
            </a:rPr>
            <a:t> </a:t>
          </a:r>
          <a:br>
            <a:rPr lang="en-IN" sz="1100">
              <a:solidFill>
                <a:schemeClr val="lt1"/>
              </a:solidFill>
              <a:effectLst/>
              <a:latin typeface="+mn-lt"/>
              <a:ea typeface="+mn-ea"/>
              <a:cs typeface="+mn-cs"/>
            </a:rPr>
          </a:br>
          <a:r>
            <a:rPr lang="en-IN" sz="1100" b="0" i="0">
              <a:solidFill>
                <a:schemeClr val="lt1"/>
              </a:solidFill>
              <a:effectLst/>
              <a:latin typeface="+mn-lt"/>
              <a:ea typeface="+mn-ea"/>
              <a:cs typeface="+mn-cs"/>
            </a:rPr>
            <a:t>200</a:t>
          </a:r>
          <a:r>
            <a:rPr lang="en-IN" sz="1100">
              <a:solidFill>
                <a:schemeClr val="lt1"/>
              </a:solidFill>
              <a:effectLst/>
              <a:latin typeface="+mn-lt"/>
              <a:ea typeface="+mn-ea"/>
              <a:cs typeface="+mn-cs"/>
            </a:rPr>
            <a:t> </a:t>
          </a:r>
          <a:endParaRPr lang="en-IN">
            <a:effectLst/>
          </a:endParaRPr>
        </a:p>
      </xdr:txBody>
    </xdr:sp>
    <xdr:clientData/>
  </xdr:twoCellAnchor>
  <xdr:twoCellAnchor>
    <xdr:from>
      <xdr:col>3</xdr:col>
      <xdr:colOff>723900</xdr:colOff>
      <xdr:row>3</xdr:row>
      <xdr:rowOff>82550</xdr:rowOff>
    </xdr:from>
    <xdr:to>
      <xdr:col>5</xdr:col>
      <xdr:colOff>527050</xdr:colOff>
      <xdr:row>6</xdr:row>
      <xdr:rowOff>107950</xdr:rowOff>
    </xdr:to>
    <xdr:sp macro="" textlink="">
      <xdr:nvSpPr>
        <xdr:cNvPr id="14" name="Rectangle: Rounded Corners 13">
          <a:extLst>
            <a:ext uri="{FF2B5EF4-FFF2-40B4-BE49-F238E27FC236}">
              <a16:creationId xmlns:a16="http://schemas.microsoft.com/office/drawing/2014/main" id="{2F98AD7A-86AB-4656-9A13-7830E725AC1E}"/>
            </a:ext>
          </a:extLst>
        </xdr:cNvPr>
        <xdr:cNvSpPr/>
      </xdr:nvSpPr>
      <xdr:spPr>
        <a:xfrm>
          <a:off x="2832100" y="596900"/>
          <a:ext cx="1409700" cy="539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100" b="0" i="0">
              <a:solidFill>
                <a:schemeClr val="lt1"/>
              </a:solidFill>
              <a:effectLst/>
              <a:latin typeface="+mn-lt"/>
              <a:ea typeface="+mn-ea"/>
              <a:cs typeface="+mn-cs"/>
            </a:rPr>
            <a:t>Total</a:t>
          </a:r>
          <a:r>
            <a:rPr lang="en-IN" sz="1100" b="0" i="0" baseline="0">
              <a:solidFill>
                <a:schemeClr val="lt1"/>
              </a:solidFill>
              <a:effectLst/>
              <a:latin typeface="+mn-lt"/>
              <a:ea typeface="+mn-ea"/>
              <a:cs typeface="+mn-cs"/>
            </a:rPr>
            <a:t> </a:t>
          </a:r>
          <a:r>
            <a:rPr lang="en-IN" sz="1100" b="0" i="0">
              <a:solidFill>
                <a:schemeClr val="lt1"/>
              </a:solidFill>
              <a:effectLst/>
              <a:latin typeface="+mn-lt"/>
              <a:ea typeface="+mn-ea"/>
              <a:cs typeface="+mn-cs"/>
            </a:rPr>
            <a:t>Sales:</a:t>
          </a:r>
          <a:br>
            <a:rPr lang="en-IN" sz="1100" b="0" i="0">
              <a:solidFill>
                <a:schemeClr val="lt1"/>
              </a:solidFill>
              <a:effectLst/>
              <a:latin typeface="+mn-lt"/>
              <a:ea typeface="+mn-ea"/>
              <a:cs typeface="+mn-cs"/>
            </a:rPr>
          </a:br>
          <a:r>
            <a:rPr lang="en-IN" sz="1100" b="0" i="0">
              <a:solidFill>
                <a:schemeClr val="lt1"/>
              </a:solidFill>
              <a:effectLst/>
              <a:latin typeface="+mn-lt"/>
              <a:ea typeface="+mn-ea"/>
              <a:cs typeface="+mn-cs"/>
            </a:rPr>
            <a:t>175963.27</a:t>
          </a:r>
          <a:r>
            <a:rPr lang="en-IN" sz="1100">
              <a:solidFill>
                <a:schemeClr val="lt1"/>
              </a:solidFill>
              <a:effectLst/>
              <a:latin typeface="+mn-lt"/>
              <a:ea typeface="+mn-ea"/>
              <a:cs typeface="+mn-cs"/>
            </a:rPr>
            <a:t> </a:t>
          </a:r>
          <a:endParaRPr lang="en-IN">
            <a:effectLst/>
          </a:endParaRPr>
        </a:p>
      </xdr:txBody>
    </xdr:sp>
    <xdr:clientData/>
  </xdr:twoCellAnchor>
  <xdr:twoCellAnchor editAs="oneCell">
    <xdr:from>
      <xdr:col>0</xdr:col>
      <xdr:colOff>0</xdr:colOff>
      <xdr:row>7</xdr:row>
      <xdr:rowOff>25401</xdr:rowOff>
    </xdr:from>
    <xdr:to>
      <xdr:col>1</xdr:col>
      <xdr:colOff>146050</xdr:colOff>
      <xdr:row>17</xdr:row>
      <xdr:rowOff>63501</xdr:rowOff>
    </xdr:to>
    <mc:AlternateContent xmlns:mc="http://schemas.openxmlformats.org/markup-compatibility/2006">
      <mc:Choice xmlns:a14="http://schemas.microsoft.com/office/drawing/2010/main" Requires="a14">
        <xdr:graphicFrame macro="">
          <xdr:nvGraphicFramePr>
            <xdr:cNvPr id="15" name="Region">
              <a:extLst>
                <a:ext uri="{FF2B5EF4-FFF2-40B4-BE49-F238E27FC236}">
                  <a16:creationId xmlns:a16="http://schemas.microsoft.com/office/drawing/2014/main" id="{F8DA8DF3-8929-44FE-A8A2-FD3B5D56242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247776"/>
              <a:ext cx="812800" cy="1784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577850</xdr:colOff>
      <xdr:row>21</xdr:row>
      <xdr:rowOff>114300</xdr:rowOff>
    </xdr:from>
    <xdr:to>
      <xdr:col>11</xdr:col>
      <xdr:colOff>444500</xdr:colOff>
      <xdr:row>36</xdr:row>
      <xdr:rowOff>95250</xdr:rowOff>
    </xdr:to>
    <xdr:graphicFrame macro="">
      <xdr:nvGraphicFramePr>
        <xdr:cNvPr id="16" name="Chart 15">
          <a:extLst>
            <a:ext uri="{FF2B5EF4-FFF2-40B4-BE49-F238E27FC236}">
              <a16:creationId xmlns:a16="http://schemas.microsoft.com/office/drawing/2014/main" id="{441629A9-38E6-4C38-805F-C181DB48C7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508000</xdr:colOff>
      <xdr:row>37</xdr:row>
      <xdr:rowOff>63500</xdr:rowOff>
    </xdr:from>
    <xdr:to>
      <xdr:col>15</xdr:col>
      <xdr:colOff>44450</xdr:colOff>
      <xdr:row>48</xdr:row>
      <xdr:rowOff>139700</xdr:rowOff>
    </xdr:to>
    <xdr:sp macro="" textlink="">
      <xdr:nvSpPr>
        <xdr:cNvPr id="17" name="Rectangle: Rounded Corners 16">
          <a:extLst>
            <a:ext uri="{FF2B5EF4-FFF2-40B4-BE49-F238E27FC236}">
              <a16:creationId xmlns:a16="http://schemas.microsoft.com/office/drawing/2014/main" id="{3FE49BBC-293F-B102-98DF-875B43FF9370}"/>
            </a:ext>
          </a:extLst>
        </xdr:cNvPr>
        <xdr:cNvSpPr/>
      </xdr:nvSpPr>
      <xdr:spPr>
        <a:xfrm>
          <a:off x="1168400" y="6407150"/>
          <a:ext cx="9410700" cy="1962150"/>
        </a:xfrm>
        <a:prstGeom prst="roundRect">
          <a:avLst/>
        </a:prstGeom>
        <a:gradFill>
          <a:gsLst>
            <a:gs pos="10000">
              <a:schemeClr val="accent1">
                <a:tint val="62000"/>
                <a:hueMod val="94000"/>
                <a:satMod val="140000"/>
                <a:lumMod val="110000"/>
              </a:schemeClr>
            </a:gs>
            <a:gs pos="100000">
              <a:schemeClr val="accent1">
                <a:tint val="84000"/>
                <a:satMod val="160000"/>
              </a:schemeClr>
            </a:gs>
          </a:gsLst>
        </a:gradFill>
        <a:effectLst>
          <a:outerShdw blurRad="50800" dist="50800" dir="5400000" sx="107000" sy="107000" algn="ctr" rotWithShape="0">
            <a:srgbClr val="000000">
              <a:alpha val="37000"/>
            </a:srgb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r>
            <a:rPr lang="en-IN" sz="1800" b="1"/>
            <a:t>Executive Insights &amp; Key Takeaways</a:t>
          </a:r>
          <a:endParaRPr lang="en-IN" sz="1800"/>
        </a:p>
        <a:p>
          <a:r>
            <a:rPr lang="en-IN" b="1"/>
            <a:t>1.Top Performing Product:</a:t>
          </a:r>
          <a:r>
            <a:rPr lang="en-IN"/>
            <a:t> Security Cameras drive the absolute highest revenue for the company, bringing in </a:t>
          </a:r>
          <a:r>
            <a:rPr lang="en-IN" b="1"/>
            <a:t>₹63,928</a:t>
          </a:r>
          <a:r>
            <a:rPr lang="en-IN"/>
            <a:t> in total sales. Smart Lighting lags significantly behind at ₹19,879.</a:t>
          </a:r>
        </a:p>
        <a:p>
          <a:br>
            <a:rPr lang="en-IN" b="1"/>
          </a:br>
          <a:r>
            <a:rPr lang="en-IN" b="1"/>
            <a:t>2.Regional Dominance:</a:t>
          </a:r>
          <a:r>
            <a:rPr lang="en-IN"/>
            <a:t> The </a:t>
          </a:r>
          <a:r>
            <a:rPr lang="en-IN" b="1"/>
            <a:t>West</a:t>
          </a:r>
          <a:r>
            <a:rPr lang="en-IN"/>
            <a:t> region leads all territories with over </a:t>
          </a:r>
          <a:r>
            <a:rPr lang="en-IN" b="1"/>
            <a:t>₹41,000</a:t>
          </a:r>
          <a:r>
            <a:rPr lang="en-IN"/>
            <a:t> in sales. The North region is our weakest market, </a:t>
          </a:r>
          <a:br>
            <a:rPr lang="en-IN"/>
          </a:br>
          <a:r>
            <a:rPr lang="en-IN"/>
            <a:t>generating only ₹24,062.</a:t>
          </a:r>
        </a:p>
        <a:p>
          <a:br>
            <a:rPr lang="en-IN" b="1"/>
          </a:br>
          <a:r>
            <a:rPr lang="en-IN" b="1"/>
            <a:t>3.Margin Health:</a:t>
          </a:r>
          <a:r>
            <a:rPr lang="en-IN"/>
            <a:t> At our current average discount rate of </a:t>
          </a:r>
          <a:r>
            <a:rPr lang="en-IN" b="1"/>
            <a:t>9.7%</a:t>
          </a:r>
          <a:r>
            <a:rPr lang="en-IN"/>
            <a:t>, we maintain a strong average profit margin of roughly </a:t>
          </a:r>
          <a:r>
            <a:rPr lang="en-IN" b="1"/>
            <a:t>25%</a:t>
          </a:r>
          <a:r>
            <a:rPr lang="en-IN"/>
            <a:t> across all smart home categories.</a:t>
          </a:r>
        </a:p>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8</xdr:row>
      <xdr:rowOff>9525</xdr:rowOff>
    </xdr:from>
    <xdr:to>
      <xdr:col>3</xdr:col>
      <xdr:colOff>1727200</xdr:colOff>
      <xdr:row>22</xdr:row>
      <xdr:rowOff>174625</xdr:rowOff>
    </xdr:to>
    <xdr:graphicFrame macro="">
      <xdr:nvGraphicFramePr>
        <xdr:cNvPr id="2" name="Chart 1">
          <a:extLst>
            <a:ext uri="{FF2B5EF4-FFF2-40B4-BE49-F238E27FC236}">
              <a16:creationId xmlns:a16="http://schemas.microsoft.com/office/drawing/2014/main" id="{51F2FA28-5795-0557-D4AF-CC81160D8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1</xdr:col>
      <xdr:colOff>469901</xdr:colOff>
      <xdr:row>9</xdr:row>
      <xdr:rowOff>48710</xdr:rowOff>
    </xdr:from>
    <xdr:ext cx="8210550" cy="658385"/>
    <xdr:sp macro="" textlink="">
      <xdr:nvSpPr>
        <xdr:cNvPr id="2" name="Rectangle 1">
          <a:extLst>
            <a:ext uri="{FF2B5EF4-FFF2-40B4-BE49-F238E27FC236}">
              <a16:creationId xmlns:a16="http://schemas.microsoft.com/office/drawing/2014/main" id="{672F258B-8ECF-F8D6-00C0-6989F51E5292}"/>
            </a:ext>
          </a:extLst>
        </xdr:cNvPr>
        <xdr:cNvSpPr/>
      </xdr:nvSpPr>
      <xdr:spPr>
        <a:xfrm>
          <a:off x="1130301" y="1667960"/>
          <a:ext cx="8210550" cy="658385"/>
        </a:xfrm>
        <a:prstGeom prst="rect">
          <a:avLst/>
        </a:prstGeom>
        <a:noFill/>
      </xdr:spPr>
      <xdr:txBody>
        <a:bodyPr wrap="square" lIns="91440" tIns="45720" rIns="91440" bIns="45720">
          <a:spAutoFit/>
        </a:bodyPr>
        <a:lstStyle/>
        <a:p>
          <a:pPr algn="ctr"/>
          <a:r>
            <a:rPr lang="en-IN" sz="1800" i="1"/>
            <a:t>Insight: Our current average discount is ~9.7%. Raising this to a flat 10% drops projected profitability to ₹44,252.</a:t>
          </a:r>
          <a:endParaRPr lang="en-US" sz="1800" b="0" i="1"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78.448940277776" createdVersion="8" refreshedVersion="8" minRefreshableVersion="3" recordCount="200" xr:uid="{4D453D40-E7D6-4147-9333-3A4BFE0AB7CC}">
  <cacheSource type="worksheet">
    <worksheetSource name="Table1"/>
  </cacheSource>
  <cacheFields count="11">
    <cacheField name="Customer_ID" numFmtId="0">
      <sharedItems/>
    </cacheField>
    <cacheField name="Customer_Name" numFmtId="0">
      <sharedItems/>
    </cacheField>
    <cacheField name="Region" numFmtId="0">
      <sharedItems count="5">
        <s v="South"/>
        <s v="West"/>
        <s v="North"/>
        <s v="East"/>
        <s v="Central"/>
      </sharedItems>
    </cacheField>
    <cacheField name="Product_Category" numFmtId="0">
      <sharedItems count="4">
        <s v="Security Cameras"/>
        <s v="Smart Lighting"/>
        <s v="Smart Thermostats"/>
        <s v="Smart Speakers"/>
      </sharedItems>
    </cacheField>
    <cacheField name="Sales" numFmtId="171">
      <sharedItems containsSemiMixedTypes="0" containsString="0" containsNumber="1" minValue="68.64" maxValue="2300.33"/>
    </cacheField>
    <cacheField name="Quantity" numFmtId="0">
      <sharedItems containsSemiMixedTypes="0" containsString="0" containsNumber="1" containsInteger="1" minValue="1" maxValue="10"/>
    </cacheField>
    <cacheField name="Discount" numFmtId="10">
      <sharedItems containsSemiMixedTypes="0" containsString="0" containsNumber="1" minValue="0" maxValue="0.2"/>
    </cacheField>
    <cacheField name="Order_Date" numFmtId="14">
      <sharedItems/>
    </cacheField>
    <cacheField name="Month" numFmtId="0">
      <sharedItems containsSemiMixedTypes="0" containsString="0" containsNumber="1" containsInteger="1" minValue="1" maxValue="6"/>
    </cacheField>
    <cacheField name="Profit" numFmtId="0">
      <sharedItems containsSemiMixedTypes="0" containsString="0" containsNumber="1" minValue="13.31" maxValue="775.59"/>
    </cacheField>
    <cacheField name="Order Month." numFmtId="14">
      <sharedItems containsSemiMixedTypes="0" containsNonDate="0" containsDate="1" containsString="0" minDate="2026-01-01T00:00:00" maxDate="2026-06-02T00:00:00"/>
    </cacheField>
  </cacheFields>
  <extLst>
    <ext xmlns:x14="http://schemas.microsoft.com/office/spreadsheetml/2009/9/main" uri="{725AE2AE-9491-48be-B2B4-4EB974FC3084}">
      <x14:pivotCacheDefinition pivotCacheId="4870267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01"/>
    <s v="Jordan Smith"/>
    <x v="0"/>
    <x v="0"/>
    <n v="621.5"/>
    <n v="3"/>
    <n v="0.15"/>
    <s v="2026-02-22"/>
    <n v="2"/>
    <n v="157.49"/>
    <d v="2026-02-01T00:00:00"/>
  </r>
  <r>
    <s v="CUST002"/>
    <s v="Casey Brown"/>
    <x v="0"/>
    <x v="1"/>
    <n v="348.85"/>
    <n v="4"/>
    <n v="0"/>
    <s v="2026-01-18"/>
    <n v="1"/>
    <n v="75.64"/>
    <d v="2026-01-01T00:00:00"/>
  </r>
  <r>
    <s v="CUST003"/>
    <s v="Morgan Williams"/>
    <x v="0"/>
    <x v="0"/>
    <n v="706.32"/>
    <n v="3"/>
    <n v="0.1"/>
    <s v="2026-05-22"/>
    <n v="5"/>
    <n v="128.78"/>
    <d v="2026-05-01T00:00:00"/>
  </r>
  <r>
    <s v="CUST004"/>
    <s v="Jordan Rodriguez"/>
    <x v="0"/>
    <x v="2"/>
    <n v="1468.41"/>
    <n v="9"/>
    <n v="0.2"/>
    <s v="2026-02-23"/>
    <n v="2"/>
    <n v="410.73"/>
    <d v="2026-02-01T00:00:00"/>
  </r>
  <r>
    <s v="CUST005"/>
    <s v="Jordan Martinez"/>
    <x v="1"/>
    <x v="1"/>
    <n v="126.64"/>
    <n v="2"/>
    <n v="0.15"/>
    <s v="2026-05-31"/>
    <n v="5"/>
    <n v="31.19"/>
    <d v="2026-05-01T00:00:00"/>
  </r>
  <r>
    <s v="CUST006"/>
    <s v="Jamie Smith"/>
    <x v="2"/>
    <x v="1"/>
    <n v="201.14"/>
    <n v="3"/>
    <n v="0.1"/>
    <s v="2026-02-25"/>
    <n v="2"/>
    <n v="30.54"/>
    <d v="2026-02-01T00:00:00"/>
  </r>
  <r>
    <s v="CUST007"/>
    <s v="Alex Johnson"/>
    <x v="0"/>
    <x v="3"/>
    <n v="116.23"/>
    <n v="1"/>
    <n v="0.15"/>
    <s v="2026-03-01"/>
    <n v="3"/>
    <n v="16.89"/>
    <d v="2026-03-01T00:00:00"/>
  </r>
  <r>
    <s v="CUST008"/>
    <s v="Morgan Brown"/>
    <x v="3"/>
    <x v="1"/>
    <n v="480.81"/>
    <n v="7"/>
    <n v="0.2"/>
    <s v="2026-03-26"/>
    <n v="3"/>
    <n v="111.88"/>
    <d v="2026-03-01T00:00:00"/>
  </r>
  <r>
    <s v="CUST009"/>
    <s v="Cameron Martinez"/>
    <x v="1"/>
    <x v="2"/>
    <n v="1632.36"/>
    <n v="8"/>
    <n v="0"/>
    <s v="2026-02-07"/>
    <n v="2"/>
    <n v="328.12"/>
    <d v="2026-02-01T00:00:00"/>
  </r>
  <r>
    <s v="CUST010"/>
    <s v="Alex Rodriguez"/>
    <x v="0"/>
    <x v="1"/>
    <n v="666.63"/>
    <n v="10"/>
    <n v="0.2"/>
    <s v="2026-06-02"/>
    <n v="6"/>
    <n v="88.1"/>
    <d v="2026-06-01T00:00:00"/>
  </r>
  <r>
    <s v="CUST011"/>
    <s v="Morgan Rodriguez"/>
    <x v="3"/>
    <x v="0"/>
    <n v="1808.23"/>
    <n v="8"/>
    <n v="0"/>
    <s v="2026-01-01"/>
    <n v="1"/>
    <n v="560.09"/>
    <d v="2026-01-01T00:00:00"/>
  </r>
  <r>
    <s v="CUST012"/>
    <s v="Jamie Brown"/>
    <x v="0"/>
    <x v="1"/>
    <n v="415.71"/>
    <n v="5"/>
    <n v="0.05"/>
    <s v="2026-03-12"/>
    <n v="3"/>
    <n v="130.27000000000001"/>
    <d v="2026-03-01T00:00:00"/>
  </r>
  <r>
    <s v="CUST013"/>
    <s v="Skyler Martinez"/>
    <x v="2"/>
    <x v="0"/>
    <n v="239.96"/>
    <n v="1"/>
    <n v="0.1"/>
    <s v="2026-02-07"/>
    <n v="2"/>
    <n v="67.28"/>
    <d v="2026-02-01T00:00:00"/>
  </r>
  <r>
    <s v="CUST014"/>
    <s v="Casey Smith"/>
    <x v="1"/>
    <x v="3"/>
    <n v="537.21"/>
    <n v="4"/>
    <n v="0.05"/>
    <s v="2026-02-03"/>
    <n v="2"/>
    <n v="118.11"/>
    <d v="2026-02-01T00:00:00"/>
  </r>
  <r>
    <s v="CUST015"/>
    <s v="Taylor Miller"/>
    <x v="2"/>
    <x v="1"/>
    <n v="374.55"/>
    <n v="5"/>
    <n v="0"/>
    <s v="2026-05-19"/>
    <n v="5"/>
    <n v="128.26"/>
    <d v="2026-05-01T00:00:00"/>
  </r>
  <r>
    <s v="CUST016"/>
    <s v="Riley Jones"/>
    <x v="1"/>
    <x v="3"/>
    <n v="597.13"/>
    <n v="5"/>
    <n v="0.15"/>
    <s v="2026-03-06"/>
    <n v="3"/>
    <n v="102.97"/>
    <d v="2026-03-01T00:00:00"/>
  </r>
  <r>
    <s v="CUST017"/>
    <s v="Taylor Brown"/>
    <x v="0"/>
    <x v="3"/>
    <n v="1153.02"/>
    <n v="8"/>
    <n v="0"/>
    <s v="2026-02-14"/>
    <n v="2"/>
    <n v="305.64"/>
    <d v="2026-02-01T00:00:00"/>
  </r>
  <r>
    <s v="CUST018"/>
    <s v="Riley Johnson"/>
    <x v="0"/>
    <x v="1"/>
    <n v="160.79"/>
    <n v="2"/>
    <n v="0"/>
    <s v="2026-01-29"/>
    <n v="1"/>
    <n v="56.16"/>
    <d v="2026-01-01T00:00:00"/>
  </r>
  <r>
    <s v="CUST019"/>
    <s v="Jordan Miller"/>
    <x v="1"/>
    <x v="0"/>
    <n v="838.43"/>
    <n v="4"/>
    <n v="0.15"/>
    <s v="2026-06-19"/>
    <n v="6"/>
    <n v="213.74"/>
    <d v="2026-06-01T00:00:00"/>
  </r>
  <r>
    <s v="CUST020"/>
    <s v="Jordan Garcia"/>
    <x v="3"/>
    <x v="1"/>
    <n v="364.13"/>
    <n v="5"/>
    <n v="0.05"/>
    <s v="2026-01-07"/>
    <n v="1"/>
    <n v="125.57"/>
    <d v="2026-01-01T00:00:00"/>
  </r>
  <r>
    <s v="CUST021"/>
    <s v="Riley Martinez"/>
    <x v="3"/>
    <x v="0"/>
    <n v="2300.33"/>
    <n v="10"/>
    <n v="0.1"/>
    <s v="2026-02-03"/>
    <n v="2"/>
    <n v="647.59"/>
    <d v="2026-02-01T00:00:00"/>
  </r>
  <r>
    <s v="CUST022"/>
    <s v="Casey Smith"/>
    <x v="0"/>
    <x v="3"/>
    <n v="556.74"/>
    <n v="4"/>
    <n v="0"/>
    <s v="2026-01-04"/>
    <n v="1"/>
    <n v="174.63"/>
    <d v="2026-01-01T00:00:00"/>
  </r>
  <r>
    <s v="CUST023"/>
    <s v="Skyler Rodriguez"/>
    <x v="0"/>
    <x v="2"/>
    <n v="1341.8"/>
    <n v="7"/>
    <n v="0"/>
    <s v="2026-04-02"/>
    <n v="4"/>
    <n v="293.5"/>
    <d v="2026-04-01T00:00:00"/>
  </r>
  <r>
    <s v="CUST024"/>
    <s v="Jordan Miller"/>
    <x v="2"/>
    <x v="1"/>
    <n v="140.15"/>
    <n v="2"/>
    <n v="0.1"/>
    <s v="2026-03-02"/>
    <n v="3"/>
    <n v="31.33"/>
    <d v="2026-03-01T00:00:00"/>
  </r>
  <r>
    <s v="CUST025"/>
    <s v="Jordan Rodriguez"/>
    <x v="0"/>
    <x v="2"/>
    <n v="1784.19"/>
    <n v="9"/>
    <n v="0"/>
    <s v="2026-05-31"/>
    <n v="5"/>
    <n v="451.47"/>
    <d v="2026-05-01T00:00:00"/>
  </r>
  <r>
    <s v="CUST026"/>
    <s v="Casey Martinez"/>
    <x v="1"/>
    <x v="0"/>
    <n v="951.33"/>
    <n v="4"/>
    <n v="0.1"/>
    <s v="2026-03-24"/>
    <n v="3"/>
    <n v="189.12"/>
    <d v="2026-03-01T00:00:00"/>
  </r>
  <r>
    <s v="CUST027"/>
    <s v="Riley Martinez"/>
    <x v="3"/>
    <x v="1"/>
    <n v="203.03"/>
    <n v="3"/>
    <n v="0.1"/>
    <s v="2026-01-05"/>
    <n v="1"/>
    <n v="69.959999999999994"/>
    <d v="2026-01-01T00:00:00"/>
  </r>
  <r>
    <s v="CUST028"/>
    <s v="Morgan Johnson"/>
    <x v="3"/>
    <x v="2"/>
    <n v="902.56"/>
    <n v="5"/>
    <n v="0.1"/>
    <s v="2026-02-14"/>
    <n v="2"/>
    <n v="206.34"/>
    <d v="2026-02-01T00:00:00"/>
  </r>
  <r>
    <s v="CUST029"/>
    <s v="Alex Brown"/>
    <x v="2"/>
    <x v="2"/>
    <n v="519.42999999999995"/>
    <n v="3"/>
    <n v="0.15"/>
    <s v="2026-03-09"/>
    <n v="3"/>
    <n v="157.6"/>
    <d v="2026-03-01T00:00:00"/>
  </r>
  <r>
    <s v="CUST030"/>
    <s v="Casey Johnson"/>
    <x v="3"/>
    <x v="1"/>
    <n v="138.21"/>
    <n v="2"/>
    <n v="0.05"/>
    <s v="2026-01-14"/>
    <n v="1"/>
    <n v="41.63"/>
    <d v="2026-01-01T00:00:00"/>
  </r>
  <r>
    <s v="CUST031"/>
    <s v="Morgan Johnson"/>
    <x v="3"/>
    <x v="2"/>
    <n v="194.09"/>
    <n v="1"/>
    <n v="0.05"/>
    <s v="2026-02-02"/>
    <n v="2"/>
    <n v="64.819999999999993"/>
    <d v="2026-02-01T00:00:00"/>
  </r>
  <r>
    <s v="CUST032"/>
    <s v="Jamie Jones"/>
    <x v="4"/>
    <x v="1"/>
    <n v="179.35"/>
    <n v="3"/>
    <n v="0.2"/>
    <s v="2026-04-18"/>
    <n v="4"/>
    <n v="35.96"/>
    <d v="2026-04-01T00:00:00"/>
  </r>
  <r>
    <s v="CUST033"/>
    <s v="Skyler Garcia"/>
    <x v="1"/>
    <x v="2"/>
    <n v="776.06"/>
    <n v="5"/>
    <n v="0.15"/>
    <s v="2026-05-15"/>
    <n v="5"/>
    <n v="186.55"/>
    <d v="2026-05-01T00:00:00"/>
  </r>
  <r>
    <s v="CUST034"/>
    <s v="Taylor Garcia"/>
    <x v="4"/>
    <x v="3"/>
    <n v="1307.73"/>
    <n v="10"/>
    <n v="0.2"/>
    <s v="2026-01-30"/>
    <n v="1"/>
    <n v="259.58999999999997"/>
    <d v="2026-01-01T00:00:00"/>
  </r>
  <r>
    <s v="CUST035"/>
    <s v="Riley Brown"/>
    <x v="3"/>
    <x v="1"/>
    <n v="830.78"/>
    <n v="10"/>
    <n v="0.05"/>
    <s v="2026-01-17"/>
    <n v="1"/>
    <n v="177.83"/>
    <d v="2026-01-01T00:00:00"/>
  </r>
  <r>
    <s v="CUST036"/>
    <s v="Casey Johnson"/>
    <x v="2"/>
    <x v="3"/>
    <n v="756.45"/>
    <n v="5"/>
    <n v="0.05"/>
    <s v="2026-05-02"/>
    <n v="5"/>
    <n v="241.68"/>
    <d v="2026-05-01T00:00:00"/>
  </r>
  <r>
    <s v="CUST037"/>
    <s v="Dakota Williams"/>
    <x v="2"/>
    <x v="3"/>
    <n v="1095.45"/>
    <n v="8"/>
    <n v="0.05"/>
    <s v="2026-04-25"/>
    <n v="4"/>
    <n v="253.22"/>
    <d v="2026-04-01T00:00:00"/>
  </r>
  <r>
    <s v="CUST038"/>
    <s v="Cameron Brown"/>
    <x v="3"/>
    <x v="2"/>
    <n v="367.81"/>
    <n v="2"/>
    <n v="0"/>
    <s v="2026-04-03"/>
    <n v="4"/>
    <n v="75.349999999999994"/>
    <d v="2026-04-01T00:00:00"/>
  </r>
  <r>
    <s v="CUST039"/>
    <s v="Taylor Davis"/>
    <x v="0"/>
    <x v="0"/>
    <n v="1658.95"/>
    <n v="8"/>
    <n v="0.2"/>
    <s v="2026-05-12"/>
    <n v="5"/>
    <n v="380.06"/>
    <d v="2026-05-01T00:00:00"/>
  </r>
  <r>
    <s v="CUST040"/>
    <s v="Jamie Jones"/>
    <x v="4"/>
    <x v="3"/>
    <n v="629.87"/>
    <n v="5"/>
    <n v="0.15"/>
    <s v="2026-06-01"/>
    <n v="6"/>
    <n v="101.05"/>
    <d v="2026-06-01T00:00:00"/>
  </r>
  <r>
    <s v="CUST041"/>
    <s v="Cameron Brown"/>
    <x v="3"/>
    <x v="3"/>
    <n v="776.5"/>
    <n v="7"/>
    <n v="0.2"/>
    <s v="2026-01-28"/>
    <n v="1"/>
    <n v="223.7"/>
    <d v="2026-01-01T00:00:00"/>
  </r>
  <r>
    <s v="CUST042"/>
    <s v="Riley Smith"/>
    <x v="2"/>
    <x v="3"/>
    <n v="711.81"/>
    <n v="5"/>
    <n v="0.05"/>
    <s v="2026-04-26"/>
    <n v="4"/>
    <n v="260.37"/>
    <d v="2026-04-01T00:00:00"/>
  </r>
  <r>
    <s v="CUST043"/>
    <s v="Morgan Smith"/>
    <x v="2"/>
    <x v="0"/>
    <n v="1734.4"/>
    <n v="9"/>
    <n v="0.15"/>
    <s v="2026-05-09"/>
    <n v="5"/>
    <n v="534.15"/>
    <d v="2026-05-01T00:00:00"/>
  </r>
  <r>
    <s v="CUST044"/>
    <s v="Riley Miller"/>
    <x v="4"/>
    <x v="0"/>
    <n v="1947.36"/>
    <n v="9"/>
    <n v="0.2"/>
    <s v="2026-02-26"/>
    <n v="2"/>
    <n v="338.9"/>
    <d v="2026-02-01T00:00:00"/>
  </r>
  <r>
    <s v="CUST045"/>
    <s v="Casey Johnson"/>
    <x v="1"/>
    <x v="3"/>
    <n v="1085"/>
    <n v="8"/>
    <n v="0.05"/>
    <s v="2026-06-07"/>
    <n v="6"/>
    <n v="193.23"/>
    <d v="2026-06-01T00:00:00"/>
  </r>
  <r>
    <s v="CUST046"/>
    <s v="Morgan Martinez"/>
    <x v="3"/>
    <x v="0"/>
    <n v="1961.76"/>
    <n v="8"/>
    <n v="0.05"/>
    <s v="2026-01-12"/>
    <n v="1"/>
    <n v="707.54"/>
    <d v="2026-01-01T00:00:00"/>
  </r>
  <r>
    <s v="CUST047"/>
    <s v="Riley Brown"/>
    <x v="3"/>
    <x v="0"/>
    <n v="409"/>
    <n v="2"/>
    <n v="0.15"/>
    <s v="2026-06-18"/>
    <n v="6"/>
    <n v="86.15"/>
    <d v="2026-06-01T00:00:00"/>
  </r>
  <r>
    <s v="CUST048"/>
    <s v="Skyler Miller"/>
    <x v="1"/>
    <x v="0"/>
    <n v="2259.0300000000002"/>
    <n v="10"/>
    <n v="0.1"/>
    <s v="2026-05-14"/>
    <n v="5"/>
    <n v="775.59"/>
    <d v="2026-05-01T00:00:00"/>
  </r>
  <r>
    <s v="CUST049"/>
    <s v="Skyler Williams"/>
    <x v="4"/>
    <x v="1"/>
    <n v="68.64"/>
    <n v="1"/>
    <n v="0.15"/>
    <s v="2026-03-19"/>
    <n v="3"/>
    <n v="21.81"/>
    <d v="2026-03-01T00:00:00"/>
  </r>
  <r>
    <s v="CUST050"/>
    <s v="Casey Williams"/>
    <x v="4"/>
    <x v="3"/>
    <n v="885.44"/>
    <n v="7"/>
    <n v="0.1"/>
    <s v="2026-04-28"/>
    <n v="4"/>
    <n v="283.87"/>
    <d v="2026-04-01T00:00:00"/>
  </r>
  <r>
    <s v="CUST051"/>
    <s v="Morgan Rodriguez"/>
    <x v="2"/>
    <x v="0"/>
    <n v="1640.88"/>
    <n v="6"/>
    <n v="0"/>
    <s v="2026-06-14"/>
    <n v="6"/>
    <n v="424.81"/>
    <d v="2026-06-01T00:00:00"/>
  </r>
  <r>
    <s v="CUST052"/>
    <s v="Cameron Jones"/>
    <x v="1"/>
    <x v="1"/>
    <n v="717.42"/>
    <n v="10"/>
    <n v="0.15"/>
    <s v="2026-01-08"/>
    <n v="1"/>
    <n v="144.93"/>
    <d v="2026-01-01T00:00:00"/>
  </r>
  <r>
    <s v="CUST053"/>
    <s v="Dakota Miller"/>
    <x v="4"/>
    <x v="2"/>
    <n v="979.11"/>
    <n v="5"/>
    <n v="0.1"/>
    <s v="2026-01-16"/>
    <n v="1"/>
    <n v="313.54000000000002"/>
    <d v="2026-01-01T00:00:00"/>
  </r>
  <r>
    <s v="CUST054"/>
    <s v="Dakota Miller"/>
    <x v="0"/>
    <x v="2"/>
    <n v="172.63"/>
    <n v="1"/>
    <n v="0.2"/>
    <s v="2026-05-03"/>
    <n v="5"/>
    <n v="28.21"/>
    <d v="2026-05-01T00:00:00"/>
  </r>
  <r>
    <s v="CUST055"/>
    <s v="Riley Brown"/>
    <x v="3"/>
    <x v="0"/>
    <n v="484.3"/>
    <n v="2"/>
    <n v="0.05"/>
    <s v="2026-04-13"/>
    <n v="4"/>
    <n v="101.17"/>
    <d v="2026-04-01T00:00:00"/>
  </r>
  <r>
    <s v="CUST056"/>
    <s v="Taylor Rodriguez"/>
    <x v="2"/>
    <x v="3"/>
    <n v="650.62"/>
    <n v="4"/>
    <n v="0"/>
    <s v="2026-04-20"/>
    <n v="4"/>
    <n v="202.58"/>
    <d v="2026-04-01T00:00:00"/>
  </r>
  <r>
    <s v="CUST057"/>
    <s v="Skyler Johnson"/>
    <x v="1"/>
    <x v="0"/>
    <n v="1950.11"/>
    <n v="10"/>
    <n v="0.15"/>
    <s v="2026-06-25"/>
    <n v="6"/>
    <n v="608.88"/>
    <d v="2026-06-01T00:00:00"/>
  </r>
  <r>
    <s v="CUST058"/>
    <s v="Alex Johnson"/>
    <x v="2"/>
    <x v="2"/>
    <n v="1690.55"/>
    <n v="10"/>
    <n v="0.1"/>
    <s v="2026-01-28"/>
    <n v="1"/>
    <n v="488.92"/>
    <d v="2026-01-01T00:00:00"/>
  </r>
  <r>
    <s v="CUST059"/>
    <s v="Taylor Williams"/>
    <x v="4"/>
    <x v="3"/>
    <n v="109.09"/>
    <n v="1"/>
    <n v="0.2"/>
    <s v="2026-05-06"/>
    <n v="5"/>
    <n v="23.35"/>
    <d v="2026-05-01T00:00:00"/>
  </r>
  <r>
    <s v="CUST060"/>
    <s v="Jamie Martinez"/>
    <x v="4"/>
    <x v="3"/>
    <n v="651.41999999999996"/>
    <n v="5"/>
    <n v="0.1"/>
    <s v="2026-04-24"/>
    <n v="4"/>
    <n v="110.37"/>
    <d v="2026-04-01T00:00:00"/>
  </r>
  <r>
    <s v="CUST061"/>
    <s v="Jordan Miller"/>
    <x v="0"/>
    <x v="2"/>
    <n v="1662.15"/>
    <n v="10"/>
    <n v="0.15"/>
    <s v="2026-01-19"/>
    <n v="1"/>
    <n v="412.22"/>
    <d v="2026-01-01T00:00:00"/>
  </r>
  <r>
    <s v="CUST062"/>
    <s v="Jamie Martinez"/>
    <x v="3"/>
    <x v="1"/>
    <n v="68.709999999999994"/>
    <n v="1"/>
    <n v="0.1"/>
    <s v="2026-01-21"/>
    <n v="1"/>
    <n v="23.91"/>
    <d v="2026-01-01T00:00:00"/>
  </r>
  <r>
    <s v="CUST063"/>
    <s v="Skyler Rodriguez"/>
    <x v="1"/>
    <x v="1"/>
    <n v="217.41"/>
    <n v="3"/>
    <n v="0.15"/>
    <s v="2026-03-24"/>
    <n v="3"/>
    <n v="33.270000000000003"/>
    <d v="2026-03-01T00:00:00"/>
  </r>
  <r>
    <s v="CUST064"/>
    <s v="Casey Rodriguez"/>
    <x v="2"/>
    <x v="0"/>
    <n v="1748.43"/>
    <n v="8"/>
    <n v="0.1"/>
    <s v="2026-06-05"/>
    <n v="6"/>
    <n v="443.52"/>
    <d v="2026-06-01T00:00:00"/>
  </r>
  <r>
    <s v="CUST065"/>
    <s v="Alex Johnson"/>
    <x v="3"/>
    <x v="3"/>
    <n v="1226.31"/>
    <n v="9"/>
    <n v="0.05"/>
    <s v="2026-02-07"/>
    <n v="2"/>
    <n v="429.79"/>
    <d v="2026-02-01T00:00:00"/>
  </r>
  <r>
    <s v="CUST066"/>
    <s v="Cameron Jones"/>
    <x v="4"/>
    <x v="0"/>
    <n v="1714.52"/>
    <n v="8"/>
    <n v="0.15"/>
    <s v="2026-01-17"/>
    <n v="1"/>
    <n v="468.33"/>
    <d v="2026-01-01T00:00:00"/>
  </r>
  <r>
    <s v="CUST067"/>
    <s v="Riley Johnson"/>
    <x v="3"/>
    <x v="3"/>
    <n v="591.72"/>
    <n v="5"/>
    <n v="0.15"/>
    <s v="2026-02-02"/>
    <n v="2"/>
    <n v="156.44999999999999"/>
    <d v="2026-02-01T00:00:00"/>
  </r>
  <r>
    <s v="CUST068"/>
    <s v="Casey Miller"/>
    <x v="2"/>
    <x v="2"/>
    <n v="636.26"/>
    <n v="3"/>
    <n v="0"/>
    <s v="2026-03-12"/>
    <n v="3"/>
    <n v="216.64"/>
    <d v="2026-03-01T00:00:00"/>
  </r>
  <r>
    <s v="CUST069"/>
    <s v="Taylor Davis"/>
    <x v="3"/>
    <x v="3"/>
    <n v="1303.75"/>
    <n v="10"/>
    <n v="0.05"/>
    <s v="2026-06-09"/>
    <n v="6"/>
    <n v="321.89"/>
    <d v="2026-06-01T00:00:00"/>
  </r>
  <r>
    <s v="CUST070"/>
    <s v="Alex Jones"/>
    <x v="4"/>
    <x v="3"/>
    <n v="979.41"/>
    <n v="7"/>
    <n v="0.15"/>
    <s v="2026-06-12"/>
    <n v="6"/>
    <n v="179.94"/>
    <d v="2026-06-01T00:00:00"/>
  </r>
  <r>
    <s v="CUST071"/>
    <s v="Cameron Williams"/>
    <x v="3"/>
    <x v="2"/>
    <n v="1349.69"/>
    <n v="8"/>
    <n v="0.2"/>
    <s v="2026-05-30"/>
    <n v="5"/>
    <n v="353.45"/>
    <d v="2026-05-01T00:00:00"/>
  </r>
  <r>
    <s v="CUST072"/>
    <s v="Cameron Johnson"/>
    <x v="1"/>
    <x v="1"/>
    <n v="135.32"/>
    <n v="2"/>
    <n v="0.1"/>
    <s v="2026-05-21"/>
    <n v="5"/>
    <n v="42.22"/>
    <d v="2026-05-01T00:00:00"/>
  </r>
  <r>
    <s v="CUST073"/>
    <s v="Casey Rodriguez"/>
    <x v="3"/>
    <x v="2"/>
    <n v="1153.4100000000001"/>
    <n v="8"/>
    <n v="0.2"/>
    <s v="2026-03-25"/>
    <n v="3"/>
    <n v="315.36"/>
    <d v="2026-03-01T00:00:00"/>
  </r>
  <r>
    <s v="CUST074"/>
    <s v="Dakota Brown"/>
    <x v="1"/>
    <x v="3"/>
    <n v="861.1"/>
    <n v="6"/>
    <n v="0.1"/>
    <s v="2026-04-08"/>
    <n v="4"/>
    <n v="286.44"/>
    <d v="2026-04-01T00:00:00"/>
  </r>
  <r>
    <s v="CUST075"/>
    <s v="Taylor Garcia"/>
    <x v="3"/>
    <x v="2"/>
    <n v="1312.13"/>
    <n v="7"/>
    <n v="0.1"/>
    <s v="2026-06-02"/>
    <n v="6"/>
    <n v="331.01"/>
    <d v="2026-06-01T00:00:00"/>
  </r>
  <r>
    <s v="CUST076"/>
    <s v="Taylor Rodriguez"/>
    <x v="4"/>
    <x v="3"/>
    <n v="941.22"/>
    <n v="6"/>
    <n v="0"/>
    <s v="2026-05-16"/>
    <n v="5"/>
    <n v="282.64999999999998"/>
    <d v="2026-05-01T00:00:00"/>
  </r>
  <r>
    <s v="CUST077"/>
    <s v="Cameron Smith"/>
    <x v="0"/>
    <x v="1"/>
    <n v="430.14"/>
    <n v="6"/>
    <n v="0.15"/>
    <s v="2026-03-17"/>
    <n v="3"/>
    <n v="122.44"/>
    <d v="2026-03-01T00:00:00"/>
  </r>
  <r>
    <s v="CUST078"/>
    <s v="Dakota Garcia"/>
    <x v="0"/>
    <x v="1"/>
    <n v="131.72999999999999"/>
    <n v="2"/>
    <n v="0.1"/>
    <s v="2026-04-27"/>
    <n v="4"/>
    <n v="36.880000000000003"/>
    <d v="2026-04-01T00:00:00"/>
  </r>
  <r>
    <s v="CUST079"/>
    <s v="Skyler Smith"/>
    <x v="1"/>
    <x v="3"/>
    <n v="437.26"/>
    <n v="3"/>
    <n v="0"/>
    <s v="2026-05-10"/>
    <n v="5"/>
    <n v="148.84"/>
    <d v="2026-05-01T00:00:00"/>
  </r>
  <r>
    <s v="CUST080"/>
    <s v="Jordan Garcia"/>
    <x v="1"/>
    <x v="1"/>
    <n v="354.5"/>
    <n v="6"/>
    <n v="0.2"/>
    <s v="2026-06-04"/>
    <n v="6"/>
    <n v="91.87"/>
    <d v="2026-06-01T00:00:00"/>
  </r>
  <r>
    <s v="CUST081"/>
    <s v="Casey Brown"/>
    <x v="0"/>
    <x v="2"/>
    <n v="1501.67"/>
    <n v="7"/>
    <n v="0"/>
    <s v="2026-04-21"/>
    <n v="4"/>
    <n v="567.63"/>
    <d v="2026-04-01T00:00:00"/>
  </r>
  <r>
    <s v="CUST082"/>
    <s v="Alex Brown"/>
    <x v="4"/>
    <x v="1"/>
    <n v="524.63"/>
    <n v="8"/>
    <n v="0.2"/>
    <s v="2026-01-26"/>
    <n v="1"/>
    <n v="87.93"/>
    <d v="2026-01-01T00:00:00"/>
  </r>
  <r>
    <s v="CUST083"/>
    <s v="Dakota Johnson"/>
    <x v="4"/>
    <x v="0"/>
    <n v="1026.57"/>
    <n v="5"/>
    <n v="0.15"/>
    <s v="2026-06-29"/>
    <n v="6"/>
    <n v="205.43"/>
    <d v="2026-06-01T00:00:00"/>
  </r>
  <r>
    <s v="CUST084"/>
    <s v="Jordan Davis"/>
    <x v="3"/>
    <x v="1"/>
    <n v="460.01"/>
    <n v="7"/>
    <n v="0.1"/>
    <s v="2026-01-30"/>
    <n v="1"/>
    <n v="77.650000000000006"/>
    <d v="2026-01-01T00:00:00"/>
  </r>
  <r>
    <s v="CUST085"/>
    <s v="Jordan Rodriguez"/>
    <x v="1"/>
    <x v="0"/>
    <n v="2056.69"/>
    <n v="9"/>
    <n v="0.05"/>
    <s v="2026-06-17"/>
    <n v="6"/>
    <n v="597.79"/>
    <d v="2026-06-01T00:00:00"/>
  </r>
  <r>
    <s v="CUST086"/>
    <s v="Taylor Williams"/>
    <x v="4"/>
    <x v="2"/>
    <n v="154.41"/>
    <n v="1"/>
    <n v="0.2"/>
    <s v="2026-06-16"/>
    <n v="6"/>
    <n v="16.55"/>
    <d v="2026-06-01T00:00:00"/>
  </r>
  <r>
    <s v="CUST087"/>
    <s v="Skyler Rodriguez"/>
    <x v="2"/>
    <x v="1"/>
    <n v="602.45000000000005"/>
    <n v="8"/>
    <n v="0.1"/>
    <s v="2026-05-22"/>
    <n v="5"/>
    <n v="146.47"/>
    <d v="2026-05-01T00:00:00"/>
  </r>
  <r>
    <s v="CUST088"/>
    <s v="Taylor Jones"/>
    <x v="3"/>
    <x v="1"/>
    <n v="156.18"/>
    <n v="2"/>
    <n v="0.05"/>
    <s v="2026-02-25"/>
    <n v="2"/>
    <n v="44.28"/>
    <d v="2026-02-01T00:00:00"/>
  </r>
  <r>
    <s v="CUST089"/>
    <s v="Cameron Martinez"/>
    <x v="3"/>
    <x v="1"/>
    <n v="491.31"/>
    <n v="6"/>
    <n v="0.05"/>
    <s v="2026-04-21"/>
    <n v="4"/>
    <n v="114.14"/>
    <d v="2026-04-01T00:00:00"/>
  </r>
  <r>
    <s v="CUST090"/>
    <s v="Jamie Brown"/>
    <x v="0"/>
    <x v="2"/>
    <n v="795.55"/>
    <n v="5"/>
    <n v="0.2"/>
    <s v="2026-04-26"/>
    <n v="4"/>
    <n v="173.56"/>
    <d v="2026-04-01T00:00:00"/>
  </r>
  <r>
    <s v="CUST091"/>
    <s v="Cameron Brown"/>
    <x v="1"/>
    <x v="2"/>
    <n v="997.83"/>
    <n v="6"/>
    <n v="0.1"/>
    <s v="2026-02-28"/>
    <n v="2"/>
    <n v="155.76"/>
    <d v="2026-02-01T00:00:00"/>
  </r>
  <r>
    <s v="CUST092"/>
    <s v="Casey Miller"/>
    <x v="4"/>
    <x v="0"/>
    <n v="495.26"/>
    <n v="2"/>
    <n v="0.05"/>
    <s v="2026-04-16"/>
    <n v="4"/>
    <n v="90.37"/>
    <d v="2026-04-01T00:00:00"/>
  </r>
  <r>
    <s v="CUST093"/>
    <s v="Riley Davis"/>
    <x v="4"/>
    <x v="3"/>
    <n v="1104.76"/>
    <n v="7"/>
    <n v="0"/>
    <s v="2026-03-28"/>
    <n v="3"/>
    <n v="402.71"/>
    <d v="2026-03-01T00:00:00"/>
  </r>
  <r>
    <s v="CUST094"/>
    <s v="Cameron Davis"/>
    <x v="3"/>
    <x v="2"/>
    <n v="1822.06"/>
    <n v="9"/>
    <n v="0"/>
    <s v="2026-04-27"/>
    <n v="4"/>
    <n v="495.67"/>
    <d v="2026-04-01T00:00:00"/>
  </r>
  <r>
    <s v="CUST095"/>
    <s v="Jordan Brown"/>
    <x v="1"/>
    <x v="1"/>
    <n v="75.900000000000006"/>
    <n v="1"/>
    <n v="0.1"/>
    <s v="2026-04-13"/>
    <n v="4"/>
    <n v="13.31"/>
    <d v="2026-04-01T00:00:00"/>
  </r>
  <r>
    <s v="CUST096"/>
    <s v="Morgan Johnson"/>
    <x v="1"/>
    <x v="0"/>
    <n v="1910.13"/>
    <n v="9"/>
    <n v="0.15"/>
    <s v="2026-04-17"/>
    <n v="4"/>
    <n v="438.28"/>
    <d v="2026-04-01T00:00:00"/>
  </r>
  <r>
    <s v="CUST097"/>
    <s v="Riley Smith"/>
    <x v="1"/>
    <x v="1"/>
    <n v="642.91"/>
    <n v="8"/>
    <n v="0"/>
    <s v="2026-01-25"/>
    <n v="1"/>
    <n v="227.59"/>
    <d v="2026-01-01T00:00:00"/>
  </r>
  <r>
    <s v="CUST098"/>
    <s v="Dakota Rodriguez"/>
    <x v="0"/>
    <x v="1"/>
    <n v="441.51"/>
    <n v="7"/>
    <n v="0.2"/>
    <s v="2026-03-22"/>
    <n v="3"/>
    <n v="63.21"/>
    <d v="2026-03-01T00:00:00"/>
  </r>
  <r>
    <s v="CUST099"/>
    <s v="Morgan Martinez"/>
    <x v="4"/>
    <x v="2"/>
    <n v="162.91999999999999"/>
    <n v="1"/>
    <n v="0.1"/>
    <s v="2026-04-20"/>
    <n v="4"/>
    <n v="44.73"/>
    <d v="2026-04-01T00:00:00"/>
  </r>
  <r>
    <s v="CUST100"/>
    <s v="Morgan Smith"/>
    <x v="1"/>
    <x v="3"/>
    <n v="525.29999999999995"/>
    <n v="4"/>
    <n v="0.05"/>
    <s v="2026-03-22"/>
    <n v="3"/>
    <n v="100.89"/>
    <d v="2026-03-01T00:00:00"/>
  </r>
  <r>
    <s v="CUST101"/>
    <s v="Jordan Smith"/>
    <x v="0"/>
    <x v="1"/>
    <n v="652.53"/>
    <n v="9"/>
    <n v="0"/>
    <s v="2026-06-20"/>
    <n v="6"/>
    <n v="137.25"/>
    <d v="2026-06-01T00:00:00"/>
  </r>
  <r>
    <s v="CUST102"/>
    <s v="Morgan Johnson"/>
    <x v="2"/>
    <x v="2"/>
    <n v="1109.46"/>
    <n v="6"/>
    <n v="0.1"/>
    <s v="2026-03-07"/>
    <n v="3"/>
    <n v="284.32"/>
    <d v="2026-03-01T00:00:00"/>
  </r>
  <r>
    <s v="CUST103"/>
    <s v="Alex Garcia"/>
    <x v="3"/>
    <x v="0"/>
    <n v="2166.46"/>
    <n v="10"/>
    <n v="0.1"/>
    <s v="2026-04-06"/>
    <n v="4"/>
    <n v="559.22"/>
    <d v="2026-04-01T00:00:00"/>
  </r>
  <r>
    <s v="CUST104"/>
    <s v="Jordan Rodriguez"/>
    <x v="4"/>
    <x v="1"/>
    <n v="544.92999999999995"/>
    <n v="8"/>
    <n v="0.15"/>
    <s v="2026-02-09"/>
    <n v="2"/>
    <n v="137.59"/>
    <d v="2026-02-01T00:00:00"/>
  </r>
  <r>
    <s v="CUST105"/>
    <s v="Morgan Jones"/>
    <x v="4"/>
    <x v="0"/>
    <n v="2054.88"/>
    <n v="8"/>
    <n v="0.05"/>
    <s v="2026-06-25"/>
    <n v="6"/>
    <n v="658.01"/>
    <d v="2026-06-01T00:00:00"/>
  </r>
  <r>
    <s v="CUST106"/>
    <s v="Skyler Brown"/>
    <x v="3"/>
    <x v="2"/>
    <n v="180.47"/>
    <n v="1"/>
    <n v="0.05"/>
    <s v="2026-05-02"/>
    <n v="5"/>
    <n v="66.8"/>
    <d v="2026-05-01T00:00:00"/>
  </r>
  <r>
    <s v="CUST107"/>
    <s v="Cameron Williams"/>
    <x v="2"/>
    <x v="2"/>
    <n v="746.38"/>
    <n v="4"/>
    <n v="0.05"/>
    <s v="2026-01-18"/>
    <n v="1"/>
    <n v="207.69"/>
    <d v="2026-01-01T00:00:00"/>
  </r>
  <r>
    <s v="CUST108"/>
    <s v="Dakota Martinez"/>
    <x v="0"/>
    <x v="2"/>
    <n v="840.89"/>
    <n v="5"/>
    <n v="0.2"/>
    <s v="2026-01-24"/>
    <n v="1"/>
    <n v="138.4"/>
    <d v="2026-01-01T00:00:00"/>
  </r>
  <r>
    <s v="CUST109"/>
    <s v="Skyler Brown"/>
    <x v="3"/>
    <x v="2"/>
    <n v="1532.13"/>
    <n v="9"/>
    <n v="0.1"/>
    <s v="2026-01-22"/>
    <n v="1"/>
    <n v="473.49"/>
    <d v="2026-01-01T00:00:00"/>
  </r>
  <r>
    <s v="CUST110"/>
    <s v="Skyler Miller"/>
    <x v="0"/>
    <x v="2"/>
    <n v="439.39"/>
    <n v="3"/>
    <n v="0.2"/>
    <s v="2026-01-24"/>
    <n v="1"/>
    <n v="67.739999999999995"/>
    <d v="2026-01-01T00:00:00"/>
  </r>
  <r>
    <s v="CUST111"/>
    <s v="Morgan Johnson"/>
    <x v="0"/>
    <x v="3"/>
    <n v="574.77"/>
    <n v="5"/>
    <n v="0.2"/>
    <s v="2026-04-21"/>
    <n v="4"/>
    <n v="107.94"/>
    <d v="2026-04-01T00:00:00"/>
  </r>
  <r>
    <s v="CUST112"/>
    <s v="Jordan Miller"/>
    <x v="0"/>
    <x v="0"/>
    <n v="1678.04"/>
    <n v="8"/>
    <n v="0.1"/>
    <s v="2026-01-25"/>
    <n v="1"/>
    <n v="278.04000000000002"/>
    <d v="2026-01-01T00:00:00"/>
  </r>
  <r>
    <s v="CUST113"/>
    <s v="Riley Miller"/>
    <x v="2"/>
    <x v="3"/>
    <n v="1237.97"/>
    <n v="8"/>
    <n v="0.05"/>
    <s v="2026-04-06"/>
    <n v="4"/>
    <n v="222.92"/>
    <d v="2026-04-01T00:00:00"/>
  </r>
  <r>
    <s v="CUST114"/>
    <s v="Jamie Davis"/>
    <x v="2"/>
    <x v="0"/>
    <n v="477.73"/>
    <n v="2"/>
    <n v="0.1"/>
    <s v="2026-02-03"/>
    <n v="2"/>
    <n v="163.63999999999999"/>
    <d v="2026-02-01T00:00:00"/>
  </r>
  <r>
    <s v="CUST115"/>
    <s v="Alex Johnson"/>
    <x v="0"/>
    <x v="1"/>
    <n v="69.81"/>
    <n v="1"/>
    <n v="0.15"/>
    <s v="2026-05-23"/>
    <n v="5"/>
    <n v="20.399999999999999"/>
    <d v="2026-05-01T00:00:00"/>
  </r>
  <r>
    <s v="CUST116"/>
    <s v="Alex Miller"/>
    <x v="1"/>
    <x v="1"/>
    <n v="773.49"/>
    <n v="10"/>
    <n v="0.1"/>
    <s v="2026-01-16"/>
    <n v="1"/>
    <n v="223.69"/>
    <d v="2026-01-01T00:00:00"/>
  </r>
  <r>
    <s v="CUST117"/>
    <s v="Riley Johnson"/>
    <x v="4"/>
    <x v="0"/>
    <n v="954.66"/>
    <n v="4"/>
    <n v="0.1"/>
    <s v="2026-05-31"/>
    <n v="5"/>
    <n v="221.28"/>
    <d v="2026-05-01T00:00:00"/>
  </r>
  <r>
    <s v="CUST118"/>
    <s v="Morgan Brown"/>
    <x v="2"/>
    <x v="1"/>
    <n v="224.96"/>
    <n v="3"/>
    <n v="0"/>
    <s v="2026-05-24"/>
    <n v="5"/>
    <n v="52.79"/>
    <d v="2026-05-01T00:00:00"/>
  </r>
  <r>
    <s v="CUST119"/>
    <s v="Morgan Rodriguez"/>
    <x v="1"/>
    <x v="1"/>
    <n v="366.69"/>
    <n v="5"/>
    <n v="0.15"/>
    <s v="2026-05-24"/>
    <n v="5"/>
    <n v="57.31"/>
    <d v="2026-05-01T00:00:00"/>
  </r>
  <r>
    <s v="CUST120"/>
    <s v="Skyler Williams"/>
    <x v="1"/>
    <x v="1"/>
    <n v="725.67"/>
    <n v="9"/>
    <n v="0"/>
    <s v="2026-03-26"/>
    <n v="3"/>
    <n v="181.45"/>
    <d v="2026-03-01T00:00:00"/>
  </r>
  <r>
    <s v="CUST121"/>
    <s v="Jamie Williams"/>
    <x v="4"/>
    <x v="3"/>
    <n v="151.26"/>
    <n v="1"/>
    <n v="0.05"/>
    <s v="2026-06-21"/>
    <n v="6"/>
    <n v="43.09"/>
    <d v="2026-06-01T00:00:00"/>
  </r>
  <r>
    <s v="CUST122"/>
    <s v="Casey Davis"/>
    <x v="0"/>
    <x v="3"/>
    <n v="1384.1"/>
    <n v="9"/>
    <n v="0.05"/>
    <s v="2026-02-01"/>
    <n v="2"/>
    <n v="440.03"/>
    <d v="2026-02-01T00:00:00"/>
  </r>
  <r>
    <s v="CUST123"/>
    <s v="Morgan Johnson"/>
    <x v="1"/>
    <x v="2"/>
    <n v="1146.68"/>
    <n v="7"/>
    <n v="0.15"/>
    <s v="2026-04-16"/>
    <n v="4"/>
    <n v="294.74"/>
    <d v="2026-04-01T00:00:00"/>
  </r>
  <r>
    <s v="CUST124"/>
    <s v="Skyler Rodriguez"/>
    <x v="1"/>
    <x v="0"/>
    <n v="368.8"/>
    <n v="2"/>
    <n v="0.2"/>
    <s v="2026-04-01"/>
    <n v="4"/>
    <n v="57.53"/>
    <d v="2026-04-01T00:00:00"/>
  </r>
  <r>
    <s v="CUST125"/>
    <s v="Jordan Smith"/>
    <x v="1"/>
    <x v="1"/>
    <n v="272.33"/>
    <n v="4"/>
    <n v="0.1"/>
    <s v="2026-06-20"/>
    <n v="6"/>
    <n v="92.86"/>
    <d v="2026-06-01T00:00:00"/>
  </r>
  <r>
    <s v="CUST126"/>
    <s v="Cameron Smith"/>
    <x v="0"/>
    <x v="0"/>
    <n v="492.71"/>
    <n v="2"/>
    <n v="0"/>
    <s v="2026-04-19"/>
    <n v="4"/>
    <n v="171.26"/>
    <d v="2026-04-01T00:00:00"/>
  </r>
  <r>
    <s v="CUST127"/>
    <s v="Jordan Brown"/>
    <x v="0"/>
    <x v="2"/>
    <n v="1446.5"/>
    <n v="8"/>
    <n v="0.15"/>
    <s v="2026-01-14"/>
    <n v="1"/>
    <n v="341.19"/>
    <d v="2026-01-01T00:00:00"/>
  </r>
  <r>
    <s v="CUST128"/>
    <s v="Taylor Miller"/>
    <x v="2"/>
    <x v="2"/>
    <n v="428.86"/>
    <n v="2"/>
    <n v="0"/>
    <s v="2026-03-15"/>
    <n v="3"/>
    <n v="138.24"/>
    <d v="2026-03-01T00:00:00"/>
  </r>
  <r>
    <s v="CUST129"/>
    <s v="Skyler Davis"/>
    <x v="2"/>
    <x v="1"/>
    <n v="194.7"/>
    <n v="3"/>
    <n v="0.1"/>
    <s v="2026-06-03"/>
    <n v="6"/>
    <n v="45.54"/>
    <d v="2026-06-01T00:00:00"/>
  </r>
  <r>
    <s v="CUST130"/>
    <s v="Morgan Miller"/>
    <x v="1"/>
    <x v="2"/>
    <n v="1282.75"/>
    <n v="8"/>
    <n v="0.2"/>
    <s v="2026-03-21"/>
    <n v="3"/>
    <n v="191.83"/>
    <d v="2026-03-01T00:00:00"/>
  </r>
  <r>
    <s v="CUST131"/>
    <s v="Alex Williams"/>
    <x v="0"/>
    <x v="1"/>
    <n v="393.39"/>
    <n v="5"/>
    <n v="0"/>
    <s v="2026-04-01"/>
    <n v="4"/>
    <n v="106.69"/>
    <d v="2026-04-01T00:00:00"/>
  </r>
  <r>
    <s v="CUST132"/>
    <s v="Jamie Smith"/>
    <x v="0"/>
    <x v="2"/>
    <n v="1444.96"/>
    <n v="9"/>
    <n v="0.15"/>
    <s v="2026-01-27"/>
    <n v="1"/>
    <n v="399.63"/>
    <d v="2026-01-01T00:00:00"/>
  </r>
  <r>
    <s v="CUST133"/>
    <s v="Jamie Jones"/>
    <x v="4"/>
    <x v="2"/>
    <n v="831.58"/>
    <n v="5"/>
    <n v="0.1"/>
    <s v="2026-05-28"/>
    <n v="5"/>
    <n v="127.13"/>
    <d v="2026-05-01T00:00:00"/>
  </r>
  <r>
    <s v="CUST134"/>
    <s v="Skyler Jones"/>
    <x v="1"/>
    <x v="1"/>
    <n v="487.63"/>
    <n v="7"/>
    <n v="0.1"/>
    <s v="2026-05-10"/>
    <n v="5"/>
    <n v="84.46"/>
    <d v="2026-05-01T00:00:00"/>
  </r>
  <r>
    <s v="CUST135"/>
    <s v="Jamie Rodriguez"/>
    <x v="2"/>
    <x v="2"/>
    <n v="1393.38"/>
    <n v="8"/>
    <n v="0.2"/>
    <s v="2026-02-24"/>
    <n v="2"/>
    <n v="152.16"/>
    <d v="2026-02-01T00:00:00"/>
  </r>
  <r>
    <s v="CUST136"/>
    <s v="Skyler Williams"/>
    <x v="4"/>
    <x v="2"/>
    <n v="1311.91"/>
    <n v="8"/>
    <n v="0.15"/>
    <s v="2026-02-09"/>
    <n v="2"/>
    <n v="174.68"/>
    <d v="2026-02-01T00:00:00"/>
  </r>
  <r>
    <s v="CUST137"/>
    <s v="Morgan Jones"/>
    <x v="0"/>
    <x v="2"/>
    <n v="722.71"/>
    <n v="4"/>
    <n v="0.1"/>
    <s v="2026-06-18"/>
    <n v="6"/>
    <n v="232.06"/>
    <d v="2026-06-01T00:00:00"/>
  </r>
  <r>
    <s v="CUST138"/>
    <s v="Morgan Smith"/>
    <x v="2"/>
    <x v="0"/>
    <n v="2081.21"/>
    <n v="8"/>
    <n v="0"/>
    <s v="2026-05-04"/>
    <n v="5"/>
    <n v="709.13"/>
    <d v="2026-05-01T00:00:00"/>
  </r>
  <r>
    <s v="CUST139"/>
    <s v="Dakota Rodriguez"/>
    <x v="1"/>
    <x v="3"/>
    <n v="1247.52"/>
    <n v="9"/>
    <n v="0.05"/>
    <s v="2026-02-27"/>
    <n v="2"/>
    <n v="336.62"/>
    <d v="2026-02-01T00:00:00"/>
  </r>
  <r>
    <s v="CUST140"/>
    <s v="Alex Garcia"/>
    <x v="0"/>
    <x v="0"/>
    <n v="697.65"/>
    <n v="3"/>
    <n v="0.15"/>
    <s v="2026-01-28"/>
    <n v="1"/>
    <n v="100.86"/>
    <d v="2026-01-01T00:00:00"/>
  </r>
  <r>
    <s v="CUST141"/>
    <s v="Alex Smith"/>
    <x v="1"/>
    <x v="2"/>
    <n v="1529.49"/>
    <n v="7"/>
    <n v="0"/>
    <s v="2026-03-31"/>
    <n v="3"/>
    <n v="456.28"/>
    <d v="2026-03-01T00:00:00"/>
  </r>
  <r>
    <s v="CUST142"/>
    <s v="Dakota Davis"/>
    <x v="4"/>
    <x v="3"/>
    <n v="456.17"/>
    <n v="4"/>
    <n v="0.2"/>
    <s v="2026-05-23"/>
    <n v="5"/>
    <n v="88.81"/>
    <d v="2026-05-01T00:00:00"/>
  </r>
  <r>
    <s v="CUST143"/>
    <s v="Cameron Rodriguez"/>
    <x v="4"/>
    <x v="0"/>
    <n v="1998.9"/>
    <n v="10"/>
    <n v="0.2"/>
    <s v="2026-04-05"/>
    <n v="4"/>
    <n v="269.13"/>
    <d v="2026-04-01T00:00:00"/>
  </r>
  <r>
    <s v="CUST144"/>
    <s v="Taylor Smith"/>
    <x v="4"/>
    <x v="0"/>
    <n v="1944.36"/>
    <n v="9"/>
    <n v="0.1"/>
    <s v="2026-01-30"/>
    <n v="1"/>
    <n v="460.37"/>
    <d v="2026-01-01T00:00:00"/>
  </r>
  <r>
    <s v="CUST145"/>
    <s v="Cameron Johnson"/>
    <x v="3"/>
    <x v="0"/>
    <n v="574.17999999999995"/>
    <n v="3"/>
    <n v="0.2"/>
    <s v="2026-03-13"/>
    <n v="3"/>
    <n v="103.18"/>
    <d v="2026-03-01T00:00:00"/>
  </r>
  <r>
    <s v="CUST146"/>
    <s v="Taylor Johnson"/>
    <x v="1"/>
    <x v="1"/>
    <n v="137.91999999999999"/>
    <n v="2"/>
    <n v="0.05"/>
    <s v="2026-05-27"/>
    <n v="5"/>
    <n v="41.12"/>
    <d v="2026-05-01T00:00:00"/>
  </r>
  <r>
    <s v="CUST147"/>
    <s v="Dakota Johnson"/>
    <x v="4"/>
    <x v="2"/>
    <n v="1021.91"/>
    <n v="5"/>
    <n v="0"/>
    <s v="2026-02-27"/>
    <n v="2"/>
    <n v="334.18"/>
    <d v="2026-02-01T00:00:00"/>
  </r>
  <r>
    <s v="CUST148"/>
    <s v="Morgan Miller"/>
    <x v="4"/>
    <x v="2"/>
    <n v="1190.6400000000001"/>
    <n v="7"/>
    <n v="0.15"/>
    <s v="2026-04-20"/>
    <n v="4"/>
    <n v="159.62"/>
    <d v="2026-04-01T00:00:00"/>
  </r>
  <r>
    <s v="CUST149"/>
    <s v="Jordan Martinez"/>
    <x v="1"/>
    <x v="3"/>
    <n v="737.34"/>
    <n v="6"/>
    <n v="0.1"/>
    <s v="2026-05-24"/>
    <n v="5"/>
    <n v="165.84"/>
    <d v="2026-05-01T00:00:00"/>
  </r>
  <r>
    <s v="CUST150"/>
    <s v="Morgan Martinez"/>
    <x v="4"/>
    <x v="0"/>
    <n v="1827.83"/>
    <n v="9"/>
    <n v="0.15"/>
    <s v="2026-06-09"/>
    <n v="6"/>
    <n v="457.27"/>
    <d v="2026-06-01T00:00:00"/>
  </r>
  <r>
    <s v="CUST151"/>
    <s v="Dakota Smith"/>
    <x v="1"/>
    <x v="2"/>
    <n v="1081.6500000000001"/>
    <n v="5"/>
    <n v="0"/>
    <s v="2026-06-07"/>
    <n v="6"/>
    <n v="325.17"/>
    <d v="2026-06-01T00:00:00"/>
  </r>
  <r>
    <s v="CUST152"/>
    <s v="Dakota Johnson"/>
    <x v="0"/>
    <x v="0"/>
    <n v="225.13"/>
    <n v="1"/>
    <n v="0.05"/>
    <s v="2026-06-22"/>
    <n v="6"/>
    <n v="77.959999999999994"/>
    <d v="2026-06-01T00:00:00"/>
  </r>
  <r>
    <s v="CUST153"/>
    <s v="Jamie Martinez"/>
    <x v="1"/>
    <x v="2"/>
    <n v="928.98"/>
    <n v="5"/>
    <n v="0"/>
    <s v="2026-06-14"/>
    <n v="6"/>
    <n v="308.18"/>
    <d v="2026-06-01T00:00:00"/>
  </r>
  <r>
    <s v="CUST154"/>
    <s v="Dakota Rodriguez"/>
    <x v="1"/>
    <x v="0"/>
    <n v="1247.3599999999999"/>
    <n v="5"/>
    <n v="0"/>
    <s v="2026-05-23"/>
    <n v="5"/>
    <n v="290.12"/>
    <d v="2026-05-01T00:00:00"/>
  </r>
  <r>
    <s v="CUST155"/>
    <s v="Riley Jones"/>
    <x v="3"/>
    <x v="2"/>
    <n v="1974.83"/>
    <n v="10"/>
    <n v="0.1"/>
    <s v="2026-01-07"/>
    <n v="1"/>
    <n v="324.10000000000002"/>
    <d v="2026-01-01T00:00:00"/>
  </r>
  <r>
    <s v="CUST156"/>
    <s v="Morgan Garcia"/>
    <x v="0"/>
    <x v="3"/>
    <n v="1209.22"/>
    <n v="10"/>
    <n v="0.15"/>
    <s v="2026-06-05"/>
    <n v="6"/>
    <n v="306.52"/>
    <d v="2026-06-01T00:00:00"/>
  </r>
  <r>
    <s v="CUST157"/>
    <s v="Morgan Jones"/>
    <x v="3"/>
    <x v="0"/>
    <n v="2068.85"/>
    <n v="8"/>
    <n v="0"/>
    <s v="2026-06-18"/>
    <n v="6"/>
    <n v="424.74"/>
    <d v="2026-06-01T00:00:00"/>
  </r>
  <r>
    <s v="CUST158"/>
    <s v="Jamie Williams"/>
    <x v="4"/>
    <x v="2"/>
    <n v="631.39"/>
    <n v="3"/>
    <n v="0"/>
    <s v="2026-06-27"/>
    <n v="6"/>
    <n v="200.25"/>
    <d v="2026-06-01T00:00:00"/>
  </r>
  <r>
    <s v="CUST159"/>
    <s v="Casey Davis"/>
    <x v="1"/>
    <x v="3"/>
    <n v="1080.18"/>
    <n v="8"/>
    <n v="0.05"/>
    <s v="2026-03-10"/>
    <n v="3"/>
    <n v="392.16"/>
    <d v="2026-03-01T00:00:00"/>
  </r>
  <r>
    <s v="CUST160"/>
    <s v="Riley Johnson"/>
    <x v="0"/>
    <x v="3"/>
    <n v="1129.29"/>
    <n v="9"/>
    <n v="0.2"/>
    <s v="2026-01-08"/>
    <n v="1"/>
    <n v="242.9"/>
    <d v="2026-01-01T00:00:00"/>
  </r>
  <r>
    <s v="CUST161"/>
    <s v="Alex Davis"/>
    <x v="3"/>
    <x v="2"/>
    <n v="1479.81"/>
    <n v="8"/>
    <n v="0.05"/>
    <s v="2026-02-16"/>
    <n v="2"/>
    <n v="373.85"/>
    <d v="2026-02-01T00:00:00"/>
  </r>
  <r>
    <s v="CUST162"/>
    <s v="Dakota Martinez"/>
    <x v="1"/>
    <x v="0"/>
    <n v="1308.74"/>
    <n v="6"/>
    <n v="0.15"/>
    <s v="2026-03-11"/>
    <n v="3"/>
    <n v="331.97"/>
    <d v="2026-03-01T00:00:00"/>
  </r>
  <r>
    <s v="CUST163"/>
    <s v="Jordan Johnson"/>
    <x v="2"/>
    <x v="1"/>
    <n v="418.9"/>
    <n v="6"/>
    <n v="0.15"/>
    <s v="2026-06-29"/>
    <n v="6"/>
    <n v="90.75"/>
    <d v="2026-06-01T00:00:00"/>
  </r>
  <r>
    <s v="CUST164"/>
    <s v="Cameron Brown"/>
    <x v="3"/>
    <x v="3"/>
    <n v="1223.69"/>
    <n v="9"/>
    <n v="0.1"/>
    <s v="2026-03-21"/>
    <n v="3"/>
    <n v="317.08999999999997"/>
    <d v="2026-03-01T00:00:00"/>
  </r>
  <r>
    <s v="CUST165"/>
    <s v="Cameron Jones"/>
    <x v="0"/>
    <x v="3"/>
    <n v="991.5"/>
    <n v="9"/>
    <n v="0.2"/>
    <s v="2026-03-28"/>
    <n v="3"/>
    <n v="285.83999999999997"/>
    <d v="2026-03-01T00:00:00"/>
  </r>
  <r>
    <s v="CUST166"/>
    <s v="Taylor Garcia"/>
    <x v="3"/>
    <x v="2"/>
    <n v="1269.8"/>
    <n v="7"/>
    <n v="0.15"/>
    <s v="2026-03-31"/>
    <n v="3"/>
    <n v="256.77999999999997"/>
    <d v="2026-03-01T00:00:00"/>
  </r>
  <r>
    <s v="CUST167"/>
    <s v="Jordan Brown"/>
    <x v="3"/>
    <x v="1"/>
    <n v="493.65"/>
    <n v="8"/>
    <n v="0.2"/>
    <s v="2026-01-02"/>
    <n v="1"/>
    <n v="144.26"/>
    <d v="2026-01-01T00:00:00"/>
  </r>
  <r>
    <s v="CUST168"/>
    <s v="Riley Jones"/>
    <x v="3"/>
    <x v="1"/>
    <n v="427.41"/>
    <n v="6"/>
    <n v="0.05"/>
    <s v="2026-02-16"/>
    <n v="2"/>
    <n v="152.19"/>
    <d v="2026-02-01T00:00:00"/>
  </r>
  <r>
    <s v="CUST169"/>
    <s v="Taylor Davis"/>
    <x v="4"/>
    <x v="1"/>
    <n v="247.02"/>
    <n v="4"/>
    <n v="0.15"/>
    <s v="2026-02-06"/>
    <n v="2"/>
    <n v="40.549999999999997"/>
    <d v="2026-02-01T00:00:00"/>
  </r>
  <r>
    <s v="CUST170"/>
    <s v="Cameron Jones"/>
    <x v="2"/>
    <x v="2"/>
    <n v="814.54"/>
    <n v="4"/>
    <n v="0"/>
    <s v="2026-05-25"/>
    <n v="5"/>
    <n v="174.21"/>
    <d v="2026-05-01T00:00:00"/>
  </r>
  <r>
    <s v="CUST171"/>
    <s v="Dakota Rodriguez"/>
    <x v="0"/>
    <x v="0"/>
    <n v="2200.46"/>
    <n v="10"/>
    <n v="0.15"/>
    <s v="2026-06-18"/>
    <n v="6"/>
    <n v="319.41000000000003"/>
    <d v="2026-06-01T00:00:00"/>
  </r>
  <r>
    <s v="CUST172"/>
    <s v="Alex Rodriguez"/>
    <x v="0"/>
    <x v="3"/>
    <n v="758.79"/>
    <n v="7"/>
    <n v="0.2"/>
    <s v="2026-04-13"/>
    <n v="4"/>
    <n v="78.64"/>
    <d v="2026-04-01T00:00:00"/>
  </r>
  <r>
    <s v="CUST173"/>
    <s v="Casey Johnson"/>
    <x v="0"/>
    <x v="2"/>
    <n v="681.64"/>
    <n v="4"/>
    <n v="0.15"/>
    <s v="2026-01-18"/>
    <n v="1"/>
    <n v="98.08"/>
    <d v="2026-01-01T00:00:00"/>
  </r>
  <r>
    <s v="CUST174"/>
    <s v="Taylor Jones"/>
    <x v="1"/>
    <x v="1"/>
    <n v="476.43"/>
    <n v="7"/>
    <n v="0.1"/>
    <s v="2026-02-06"/>
    <n v="2"/>
    <n v="136.55000000000001"/>
    <d v="2026-02-01T00:00:00"/>
  </r>
  <r>
    <s v="CUST175"/>
    <s v="Jordan Johnson"/>
    <x v="0"/>
    <x v="3"/>
    <n v="154.36000000000001"/>
    <n v="1"/>
    <n v="0"/>
    <s v="2026-06-12"/>
    <n v="6"/>
    <n v="33.07"/>
    <d v="2026-06-01T00:00:00"/>
  </r>
  <r>
    <s v="CUST176"/>
    <s v="Cameron Williams"/>
    <x v="0"/>
    <x v="3"/>
    <n v="757.25"/>
    <n v="6"/>
    <n v="0.1"/>
    <s v="2026-01-08"/>
    <n v="1"/>
    <n v="161.9"/>
    <d v="2026-01-01T00:00:00"/>
  </r>
  <r>
    <s v="CUST177"/>
    <s v="Casey Jones"/>
    <x v="2"/>
    <x v="1"/>
    <n v="631.22"/>
    <n v="8"/>
    <n v="0.05"/>
    <s v="2026-01-24"/>
    <n v="1"/>
    <n v="217.12"/>
    <d v="2026-01-01T00:00:00"/>
  </r>
  <r>
    <s v="CUST178"/>
    <s v="Dakota Brown"/>
    <x v="1"/>
    <x v="1"/>
    <n v="465.22"/>
    <n v="7"/>
    <n v="0.15"/>
    <s v="2026-05-16"/>
    <n v="5"/>
    <n v="60.32"/>
    <d v="2026-05-01T00:00:00"/>
  </r>
  <r>
    <s v="CUST179"/>
    <s v="Riley Brown"/>
    <x v="1"/>
    <x v="3"/>
    <n v="970.46"/>
    <n v="7"/>
    <n v="0.15"/>
    <s v="2026-02-25"/>
    <n v="2"/>
    <n v="279.39"/>
    <d v="2026-02-01T00:00:00"/>
  </r>
  <r>
    <s v="CUST180"/>
    <s v="Casey Rodriguez"/>
    <x v="3"/>
    <x v="3"/>
    <n v="396.51"/>
    <n v="3"/>
    <n v="0.05"/>
    <s v="2026-04-07"/>
    <n v="4"/>
    <n v="91.74"/>
    <d v="2026-04-01T00:00:00"/>
  </r>
  <r>
    <s v="CUST181"/>
    <s v="Skyler Jones"/>
    <x v="4"/>
    <x v="0"/>
    <n v="1742.78"/>
    <n v="8"/>
    <n v="0.1"/>
    <s v="2026-04-18"/>
    <n v="4"/>
    <n v="302.60000000000002"/>
    <d v="2026-04-01T00:00:00"/>
  </r>
  <r>
    <s v="CUST182"/>
    <s v="Alex Johnson"/>
    <x v="1"/>
    <x v="0"/>
    <n v="230.67"/>
    <n v="1"/>
    <n v="0"/>
    <s v="2026-04-27"/>
    <n v="4"/>
    <n v="78.28"/>
    <d v="2026-04-01T00:00:00"/>
  </r>
  <r>
    <s v="CUST183"/>
    <s v="Jamie Jones"/>
    <x v="1"/>
    <x v="2"/>
    <n v="585.87"/>
    <n v="3"/>
    <n v="0.1"/>
    <s v="2026-03-29"/>
    <n v="3"/>
    <n v="161.58000000000001"/>
    <d v="2026-03-01T00:00:00"/>
  </r>
  <r>
    <s v="CUST184"/>
    <s v="Alex Smith"/>
    <x v="2"/>
    <x v="3"/>
    <n v="1161.51"/>
    <n v="9"/>
    <n v="0.2"/>
    <s v="2026-02-10"/>
    <n v="2"/>
    <n v="319.99"/>
    <d v="2026-02-01T00:00:00"/>
  </r>
  <r>
    <s v="CUST185"/>
    <s v="Riley Williams"/>
    <x v="0"/>
    <x v="0"/>
    <n v="2141.0700000000002"/>
    <n v="10"/>
    <n v="0.1"/>
    <s v="2026-04-05"/>
    <n v="4"/>
    <n v="635.92999999999995"/>
    <d v="2026-04-01T00:00:00"/>
  </r>
  <r>
    <s v="CUST186"/>
    <s v="Casey Williams"/>
    <x v="1"/>
    <x v="3"/>
    <n v="928.8"/>
    <n v="6"/>
    <n v="0"/>
    <s v="2026-03-21"/>
    <n v="3"/>
    <n v="335.01"/>
    <d v="2026-03-01T00:00:00"/>
  </r>
  <r>
    <s v="CUST187"/>
    <s v="Skyler Rodriguez"/>
    <x v="1"/>
    <x v="1"/>
    <n v="144.63"/>
    <n v="2"/>
    <n v="0.15"/>
    <s v="2026-03-25"/>
    <n v="3"/>
    <n v="26.24"/>
    <d v="2026-03-01T00:00:00"/>
  </r>
  <r>
    <s v="CUST188"/>
    <s v="Jamie Rodriguez"/>
    <x v="4"/>
    <x v="0"/>
    <n v="1819.87"/>
    <n v="8"/>
    <n v="0.1"/>
    <s v="2026-05-26"/>
    <n v="5"/>
    <n v="337.56"/>
    <d v="2026-05-01T00:00:00"/>
  </r>
  <r>
    <s v="CUST189"/>
    <s v="Alex Johnson"/>
    <x v="2"/>
    <x v="1"/>
    <n v="152.9"/>
    <n v="2"/>
    <n v="0.05"/>
    <s v="2026-06-02"/>
    <n v="6"/>
    <n v="49.71"/>
    <d v="2026-06-01T00:00:00"/>
  </r>
  <r>
    <s v="CUST190"/>
    <s v="Jordan Williams"/>
    <x v="4"/>
    <x v="1"/>
    <n v="682.83"/>
    <n v="9"/>
    <n v="0"/>
    <s v="2026-01-22"/>
    <n v="1"/>
    <n v="246.75"/>
    <d v="2026-01-01T00:00:00"/>
  </r>
  <r>
    <s v="CUST191"/>
    <s v="Cameron Smith"/>
    <x v="1"/>
    <x v="1"/>
    <n v="499.73"/>
    <n v="8"/>
    <n v="0.15"/>
    <s v="2026-01-14"/>
    <n v="1"/>
    <n v="161.46"/>
    <d v="2026-01-01T00:00:00"/>
  </r>
  <r>
    <s v="CUST192"/>
    <s v="Riley Martinez"/>
    <x v="1"/>
    <x v="2"/>
    <n v="215.89"/>
    <n v="1"/>
    <n v="0"/>
    <s v="2026-02-09"/>
    <n v="2"/>
    <n v="60.99"/>
    <d v="2026-02-01T00:00:00"/>
  </r>
  <r>
    <s v="CUST193"/>
    <s v="Cameron Williams"/>
    <x v="2"/>
    <x v="1"/>
    <n v="246.26"/>
    <n v="3"/>
    <n v="0.05"/>
    <s v="2026-02-10"/>
    <n v="2"/>
    <n v="61.42"/>
    <d v="2026-02-01T00:00:00"/>
  </r>
  <r>
    <s v="CUST194"/>
    <s v="Jamie Williams"/>
    <x v="3"/>
    <x v="2"/>
    <n v="1149.81"/>
    <n v="7"/>
    <n v="0.2"/>
    <s v="2026-06-08"/>
    <n v="6"/>
    <n v="293.52999999999997"/>
    <d v="2026-06-01T00:00:00"/>
  </r>
  <r>
    <s v="CUST195"/>
    <s v="Alex Jones"/>
    <x v="3"/>
    <x v="3"/>
    <n v="435.51"/>
    <n v="3"/>
    <n v="0"/>
    <s v="2026-01-13"/>
    <n v="1"/>
    <n v="116.79"/>
    <d v="2026-01-01T00:00:00"/>
  </r>
  <r>
    <s v="CUST196"/>
    <s v="Riley Smith"/>
    <x v="1"/>
    <x v="3"/>
    <n v="290.95"/>
    <n v="2"/>
    <n v="0"/>
    <s v="2026-06-22"/>
    <n v="6"/>
    <n v="112.35"/>
    <d v="2026-06-01T00:00:00"/>
  </r>
  <r>
    <s v="CUST197"/>
    <s v="Riley Brown"/>
    <x v="1"/>
    <x v="0"/>
    <n v="1881.34"/>
    <n v="8"/>
    <n v="0.1"/>
    <s v="2026-01-21"/>
    <n v="1"/>
    <n v="605.19000000000005"/>
    <d v="2026-01-01T00:00:00"/>
  </r>
  <r>
    <s v="CUST198"/>
    <s v="Morgan Johnson"/>
    <x v="4"/>
    <x v="0"/>
    <n v="1281.81"/>
    <n v="5"/>
    <n v="0.05"/>
    <s v="2026-03-11"/>
    <n v="3"/>
    <n v="334.29"/>
    <d v="2026-03-01T00:00:00"/>
  </r>
  <r>
    <s v="CUST199"/>
    <s v="Riley Rodriguez"/>
    <x v="4"/>
    <x v="2"/>
    <n v="1228.26"/>
    <n v="6"/>
    <n v="0.05"/>
    <s v="2026-04-24"/>
    <n v="4"/>
    <n v="399.4"/>
    <d v="2026-04-01T00:00:00"/>
  </r>
  <r>
    <s v="CUST200"/>
    <s v="Jamie Martinez"/>
    <x v="4"/>
    <x v="3"/>
    <n v="1267.17"/>
    <n v="10"/>
    <n v="0.2"/>
    <s v="2026-06-19"/>
    <n v="6"/>
    <n v="317.94"/>
    <d v="2026-06-01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BDF2FB-420E-4FD2-8312-B5371712EB3E}"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 Category" colHeaderCaption="Region">
  <location ref="A3:G9" firstHeaderRow="1" firstDataRow="2" firstDataCol="1"/>
  <pivotFields count="11">
    <pivotField showAll="0"/>
    <pivotField showAll="0"/>
    <pivotField axis="axisCol" showAll="0">
      <items count="6">
        <item x="4"/>
        <item x="3"/>
        <item x="2"/>
        <item x="0"/>
        <item x="1"/>
        <item t="default"/>
      </items>
    </pivotField>
    <pivotField axis="axisRow" showAll="0">
      <items count="5">
        <item x="0"/>
        <item x="1"/>
        <item x="3"/>
        <item x="2"/>
        <item t="default"/>
      </items>
    </pivotField>
    <pivotField dataField="1" numFmtId="171" showAll="0"/>
    <pivotField showAll="0"/>
    <pivotField numFmtId="10" showAll="0"/>
    <pivotField showAll="0"/>
    <pivotField showAll="0"/>
    <pivotField showAll="0"/>
    <pivotField numFmtId="14" showAll="0"/>
  </pivotFields>
  <rowFields count="1">
    <field x="3"/>
  </rowFields>
  <rowItems count="5">
    <i>
      <x/>
    </i>
    <i>
      <x v="1"/>
    </i>
    <i>
      <x v="2"/>
    </i>
    <i>
      <x v="3"/>
    </i>
    <i t="grand">
      <x/>
    </i>
  </rowItems>
  <colFields count="1">
    <field x="2"/>
  </colFields>
  <colItems count="6">
    <i>
      <x/>
    </i>
    <i>
      <x v="1"/>
    </i>
    <i>
      <x v="2"/>
    </i>
    <i>
      <x v="3"/>
    </i>
    <i>
      <x v="4"/>
    </i>
    <i t="grand">
      <x/>
    </i>
  </colItems>
  <dataFields count="1">
    <dataField name="TOTAL SALES BY REGION AND PRODUCT" fld="4" baseField="0" baseItem="0" numFmtId="171"/>
  </dataFields>
  <formats count="1">
    <format dxfId="61">
      <pivotArea outline="0" collapsedLevelsAreSubtotals="1" fieldPosition="0"/>
    </format>
  </formats>
  <chartFormats count="30">
    <chartFormat chart="2" format="10" series="1">
      <pivotArea type="data" outline="0" fieldPosition="0">
        <references count="2">
          <reference field="4294967294" count="1" selected="0">
            <x v="0"/>
          </reference>
          <reference field="2" count="1" selected="0">
            <x v="0"/>
          </reference>
        </references>
      </pivotArea>
    </chartFormat>
    <chartFormat chart="2" format="11" series="1">
      <pivotArea type="data" outline="0" fieldPosition="0">
        <references count="2">
          <reference field="4294967294" count="1" selected="0">
            <x v="0"/>
          </reference>
          <reference field="2" count="1" selected="0">
            <x v="1"/>
          </reference>
        </references>
      </pivotArea>
    </chartFormat>
    <chartFormat chart="2" format="12" series="1">
      <pivotArea type="data" outline="0" fieldPosition="0">
        <references count="2">
          <reference field="4294967294" count="1" selected="0">
            <x v="0"/>
          </reference>
          <reference field="2" count="1" selected="0">
            <x v="2"/>
          </reference>
        </references>
      </pivotArea>
    </chartFormat>
    <chartFormat chart="2" format="13" series="1">
      <pivotArea type="data" outline="0" fieldPosition="0">
        <references count="2">
          <reference field="4294967294" count="1" selected="0">
            <x v="0"/>
          </reference>
          <reference field="2" count="1" selected="0">
            <x v="3"/>
          </reference>
        </references>
      </pivotArea>
    </chartFormat>
    <chartFormat chart="2" format="14" series="1">
      <pivotArea type="data" outline="0" fieldPosition="0">
        <references count="2">
          <reference field="4294967294" count="1" selected="0">
            <x v="0"/>
          </reference>
          <reference field="2" count="1" selected="0">
            <x v="4"/>
          </reference>
        </references>
      </pivotArea>
    </chartFormat>
    <chartFormat chart="7" format="30" series="1">
      <pivotArea type="data" outline="0" fieldPosition="0">
        <references count="2">
          <reference field="4294967294" count="1" selected="0">
            <x v="0"/>
          </reference>
          <reference field="2" count="1" selected="0">
            <x v="0"/>
          </reference>
        </references>
      </pivotArea>
    </chartFormat>
    <chartFormat chart="7" format="31">
      <pivotArea type="data" outline="0" fieldPosition="0">
        <references count="3">
          <reference field="4294967294" count="1" selected="0">
            <x v="0"/>
          </reference>
          <reference field="2" count="1" selected="0">
            <x v="0"/>
          </reference>
          <reference field="3" count="1" selected="0">
            <x v="0"/>
          </reference>
        </references>
      </pivotArea>
    </chartFormat>
    <chartFormat chart="7" format="32">
      <pivotArea type="data" outline="0" fieldPosition="0">
        <references count="3">
          <reference field="4294967294" count="1" selected="0">
            <x v="0"/>
          </reference>
          <reference field="2" count="1" selected="0">
            <x v="0"/>
          </reference>
          <reference field="3" count="1" selected="0">
            <x v="1"/>
          </reference>
        </references>
      </pivotArea>
    </chartFormat>
    <chartFormat chart="7" format="33">
      <pivotArea type="data" outline="0" fieldPosition="0">
        <references count="3">
          <reference field="4294967294" count="1" selected="0">
            <x v="0"/>
          </reference>
          <reference field="2" count="1" selected="0">
            <x v="0"/>
          </reference>
          <reference field="3" count="1" selected="0">
            <x v="2"/>
          </reference>
        </references>
      </pivotArea>
    </chartFormat>
    <chartFormat chart="7" format="34">
      <pivotArea type="data" outline="0" fieldPosition="0">
        <references count="3">
          <reference field="4294967294" count="1" selected="0">
            <x v="0"/>
          </reference>
          <reference field="2" count="1" selected="0">
            <x v="0"/>
          </reference>
          <reference field="3" count="1" selected="0">
            <x v="3"/>
          </reference>
        </references>
      </pivotArea>
    </chartFormat>
    <chartFormat chart="7" format="35" series="1">
      <pivotArea type="data" outline="0" fieldPosition="0">
        <references count="2">
          <reference field="4294967294" count="1" selected="0">
            <x v="0"/>
          </reference>
          <reference field="2" count="1" selected="0">
            <x v="1"/>
          </reference>
        </references>
      </pivotArea>
    </chartFormat>
    <chartFormat chart="7" format="36">
      <pivotArea type="data" outline="0" fieldPosition="0">
        <references count="3">
          <reference field="4294967294" count="1" selected="0">
            <x v="0"/>
          </reference>
          <reference field="2" count="1" selected="0">
            <x v="1"/>
          </reference>
          <reference field="3" count="1" selected="0">
            <x v="0"/>
          </reference>
        </references>
      </pivotArea>
    </chartFormat>
    <chartFormat chart="7" format="37">
      <pivotArea type="data" outline="0" fieldPosition="0">
        <references count="3">
          <reference field="4294967294" count="1" selected="0">
            <x v="0"/>
          </reference>
          <reference field="2" count="1" selected="0">
            <x v="1"/>
          </reference>
          <reference field="3" count="1" selected="0">
            <x v="1"/>
          </reference>
        </references>
      </pivotArea>
    </chartFormat>
    <chartFormat chart="7" format="38">
      <pivotArea type="data" outline="0" fieldPosition="0">
        <references count="3">
          <reference field="4294967294" count="1" selected="0">
            <x v="0"/>
          </reference>
          <reference field="2" count="1" selected="0">
            <x v="1"/>
          </reference>
          <reference field="3" count="1" selected="0">
            <x v="2"/>
          </reference>
        </references>
      </pivotArea>
    </chartFormat>
    <chartFormat chart="7" format="39">
      <pivotArea type="data" outline="0" fieldPosition="0">
        <references count="3">
          <reference field="4294967294" count="1" selected="0">
            <x v="0"/>
          </reference>
          <reference field="2" count="1" selected="0">
            <x v="1"/>
          </reference>
          <reference field="3" count="1" selected="0">
            <x v="3"/>
          </reference>
        </references>
      </pivotArea>
    </chartFormat>
    <chartFormat chart="7" format="40" series="1">
      <pivotArea type="data" outline="0" fieldPosition="0">
        <references count="2">
          <reference field="4294967294" count="1" selected="0">
            <x v="0"/>
          </reference>
          <reference field="2" count="1" selected="0">
            <x v="2"/>
          </reference>
        </references>
      </pivotArea>
    </chartFormat>
    <chartFormat chart="7" format="41">
      <pivotArea type="data" outline="0" fieldPosition="0">
        <references count="3">
          <reference field="4294967294" count="1" selected="0">
            <x v="0"/>
          </reference>
          <reference field="2" count="1" selected="0">
            <x v="2"/>
          </reference>
          <reference field="3" count="1" selected="0">
            <x v="0"/>
          </reference>
        </references>
      </pivotArea>
    </chartFormat>
    <chartFormat chart="7" format="42">
      <pivotArea type="data" outline="0" fieldPosition="0">
        <references count="3">
          <reference field="4294967294" count="1" selected="0">
            <x v="0"/>
          </reference>
          <reference field="2" count="1" selected="0">
            <x v="2"/>
          </reference>
          <reference field="3" count="1" selected="0">
            <x v="1"/>
          </reference>
        </references>
      </pivotArea>
    </chartFormat>
    <chartFormat chart="7" format="43">
      <pivotArea type="data" outline="0" fieldPosition="0">
        <references count="3">
          <reference field="4294967294" count="1" selected="0">
            <x v="0"/>
          </reference>
          <reference field="2" count="1" selected="0">
            <x v="2"/>
          </reference>
          <reference field="3" count="1" selected="0">
            <x v="2"/>
          </reference>
        </references>
      </pivotArea>
    </chartFormat>
    <chartFormat chart="7" format="44">
      <pivotArea type="data" outline="0" fieldPosition="0">
        <references count="3">
          <reference field="4294967294" count="1" selected="0">
            <x v="0"/>
          </reference>
          <reference field="2" count="1" selected="0">
            <x v="2"/>
          </reference>
          <reference field="3" count="1" selected="0">
            <x v="3"/>
          </reference>
        </references>
      </pivotArea>
    </chartFormat>
    <chartFormat chart="7" format="45" series="1">
      <pivotArea type="data" outline="0" fieldPosition="0">
        <references count="2">
          <reference field="4294967294" count="1" selected="0">
            <x v="0"/>
          </reference>
          <reference field="2" count="1" selected="0">
            <x v="3"/>
          </reference>
        </references>
      </pivotArea>
    </chartFormat>
    <chartFormat chart="7" format="46">
      <pivotArea type="data" outline="0" fieldPosition="0">
        <references count="3">
          <reference field="4294967294" count="1" selected="0">
            <x v="0"/>
          </reference>
          <reference field="2" count="1" selected="0">
            <x v="3"/>
          </reference>
          <reference field="3" count="1" selected="0">
            <x v="0"/>
          </reference>
        </references>
      </pivotArea>
    </chartFormat>
    <chartFormat chart="7" format="47">
      <pivotArea type="data" outline="0" fieldPosition="0">
        <references count="3">
          <reference field="4294967294" count="1" selected="0">
            <x v="0"/>
          </reference>
          <reference field="2" count="1" selected="0">
            <x v="3"/>
          </reference>
          <reference field="3" count="1" selected="0">
            <x v="1"/>
          </reference>
        </references>
      </pivotArea>
    </chartFormat>
    <chartFormat chart="7" format="48">
      <pivotArea type="data" outline="0" fieldPosition="0">
        <references count="3">
          <reference field="4294967294" count="1" selected="0">
            <x v="0"/>
          </reference>
          <reference field="2" count="1" selected="0">
            <x v="3"/>
          </reference>
          <reference field="3" count="1" selected="0">
            <x v="2"/>
          </reference>
        </references>
      </pivotArea>
    </chartFormat>
    <chartFormat chart="7" format="49">
      <pivotArea type="data" outline="0" fieldPosition="0">
        <references count="3">
          <reference field="4294967294" count="1" selected="0">
            <x v="0"/>
          </reference>
          <reference field="2" count="1" selected="0">
            <x v="3"/>
          </reference>
          <reference field="3" count="1" selected="0">
            <x v="3"/>
          </reference>
        </references>
      </pivotArea>
    </chartFormat>
    <chartFormat chart="7" format="50" series="1">
      <pivotArea type="data" outline="0" fieldPosition="0">
        <references count="2">
          <reference field="4294967294" count="1" selected="0">
            <x v="0"/>
          </reference>
          <reference field="2" count="1" selected="0">
            <x v="4"/>
          </reference>
        </references>
      </pivotArea>
    </chartFormat>
    <chartFormat chart="7" format="51">
      <pivotArea type="data" outline="0" fieldPosition="0">
        <references count="3">
          <reference field="4294967294" count="1" selected="0">
            <x v="0"/>
          </reference>
          <reference field="2" count="1" selected="0">
            <x v="4"/>
          </reference>
          <reference field="3" count="1" selected="0">
            <x v="0"/>
          </reference>
        </references>
      </pivotArea>
    </chartFormat>
    <chartFormat chart="7" format="52">
      <pivotArea type="data" outline="0" fieldPosition="0">
        <references count="3">
          <reference field="4294967294" count="1" selected="0">
            <x v="0"/>
          </reference>
          <reference field="2" count="1" selected="0">
            <x v="4"/>
          </reference>
          <reference field="3" count="1" selected="0">
            <x v="1"/>
          </reference>
        </references>
      </pivotArea>
    </chartFormat>
    <chartFormat chart="7" format="53">
      <pivotArea type="data" outline="0" fieldPosition="0">
        <references count="3">
          <reference field="4294967294" count="1" selected="0">
            <x v="0"/>
          </reference>
          <reference field="2" count="1" selected="0">
            <x v="4"/>
          </reference>
          <reference field="3" count="1" selected="0">
            <x v="2"/>
          </reference>
        </references>
      </pivotArea>
    </chartFormat>
    <chartFormat chart="7" format="54">
      <pivotArea type="data" outline="0" fieldPosition="0">
        <references count="3">
          <reference field="4294967294" count="1" selected="0">
            <x v="0"/>
          </reference>
          <reference field="2" count="1" selected="0">
            <x v="4"/>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74BD440-5499-493D-A93D-6F36A612C4EB}" sourceName="Region">
  <pivotTables>
    <pivotTable tabId="3" name="PivotTable2"/>
  </pivotTables>
  <data>
    <tabular pivotCacheId="487026776">
      <items count="5">
        <i x="4" s="1"/>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E29B366-DDF3-40A9-BACF-B6EA4B72A545}"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B7BD0F-04B4-4912-888E-1CE66EA270F8}" name="Table3" displayName="Table3" ref="A1:G89" headerRowDxfId="6" dataDxfId="4" totalsRowDxfId="5">
  <tableColumns count="7">
    <tableColumn id="1" xr3:uid="{C21B11C6-6883-4735-8EA9-4B26083E883B}" name="Customer ID" totalsRowLabel="Total" dataDxfId="13" totalsRowDxfId="53"/>
    <tableColumn id="2" xr3:uid="{F84A3F2F-B40D-4522-BD47-EFC87488D785}" name="Customer Name" dataDxfId="12" totalsRowDxfId="54"/>
    <tableColumn id="3" xr3:uid="{C4C85B57-081B-4153-8EE8-ACD34ACB463E}" name="Total Purchase (Sales)" dataDxfId="11">
      <calculatedColumnFormula>SUMIFS(DATA!E:E, DATA!A:A, A2)</calculatedColumnFormula>
    </tableColumn>
    <tableColumn id="4" xr3:uid="{E6AE1263-38F7-40EA-AB47-7EA6C8A00D73}" name="Total Profit" dataDxfId="10">
      <calculatedColumnFormula>SUMIFS(DATA!J:J, DATA!A:A, A2)</calculatedColumnFormula>
    </tableColumn>
    <tableColumn id="5" xr3:uid="{DC08A107-C143-4C1C-A718-A1AE5B02A580}" name="Order Count" dataDxfId="9">
      <calculatedColumnFormula>COUNTIF(DATA!A:A, A2)</calculatedColumnFormula>
    </tableColumn>
    <tableColumn id="6" xr3:uid="{1FA694D1-545F-4276-BF75-487F835698E2}" name="Rank" dataDxfId="8">
      <calculatedColumnFormula>RANK(C2, C:C)</calculatedColumnFormula>
    </tableColumn>
    <tableColumn id="7" xr3:uid="{5E3A9D89-3D32-484C-A443-68E0FC6382A8}" name="Top 10?" totalsRowFunction="count" dataDxfId="7" totalsRowDxfId="55">
      <calculatedColumnFormula>IF(F2&lt;=10, "Yes", "No")</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E366E4B-4E5B-4B09-BF6F-32AE717013BE}" name="Table9" displayName="Table9" ref="I1:J11" totalsRowShown="0" headerRowDxfId="1" dataDxfId="0">
  <autoFilter ref="I1:J11" xr:uid="{8E366E4B-4E5B-4B09-BF6F-32AE717013BE}"/>
  <tableColumns count="2">
    <tableColumn id="1" xr3:uid="{272E8CBB-9E80-4DA1-B0D1-2820C236E006}" name="Top Rank" dataDxfId="3"/>
    <tableColumn id="2" xr3:uid="{3D56F038-C219-42D4-A037-B7F7B51154C5}" name="High-Value Customer" dataDxfId="2">
      <calculatedColumnFormula>INDEX(B:B, MATCH(I2, F:F, 0))</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5D8023-9A71-4CB0-A68E-7A41157B1DB6}" name="Table2" displayName="Table2" ref="A2:D8" totalsRowShown="0" headerRowDxfId="57" dataDxfId="56">
  <autoFilter ref="A2:D8" xr:uid="{495D8023-9A71-4CB0-A68E-7A41157B1DB6}"/>
  <tableColumns count="4">
    <tableColumn id="1" xr3:uid="{1EF9329D-BA7E-4CEB-A564-48DC426D4B26}" name="Month" dataDxfId="60"/>
    <tableColumn id="2" xr3:uid="{EF949782-A33B-493C-ABC0-99ED612DB403}" name="Total Sales" dataDxfId="59">
      <calculatedColumnFormula>SUMIFS(DATA!E:E, DATA!K:K, A3)</calculatedColumnFormula>
    </tableColumn>
    <tableColumn id="3" xr3:uid="{C2E021B7-F3F6-4781-A23E-FDB670CF6735}" name="Total Profit" dataDxfId="58">
      <calculatedColumnFormula>SUMIFS(DATA!J:J, DATA!K:K, A3)</calculatedColumnFormula>
    </tableColumn>
    <tableColumn id="4" xr3:uid="{F74E8522-091A-4A6E-B43D-7A3B77FCAC7E}" name="Growth vs Prior Month" dataDxfId="16">
      <calculatedColumnFormula>(B4-B3)/B3</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1927689-A8EF-4C3A-9E41-5D77184D20C8}" name="Table8" displayName="Table8" ref="A2:F15" totalsRowShown="0" headerRowDxfId="23" dataDxfId="24" tableBorderDxfId="25">
  <autoFilter ref="A2:F15" xr:uid="{D1927689-A8EF-4C3A-9E41-5D77184D20C8}"/>
  <tableColumns count="6">
    <tableColumn id="1" xr3:uid="{D7933317-53EA-4F21-A314-8091A8E8F758}" name="Column1" dataDxfId="19"/>
    <tableColumn id="2" xr3:uid="{ABBDE5C5-B542-4D3F-9D57-9E894A45B2D2}" name="Column2" dataDxfId="17"/>
    <tableColumn id="3" xr3:uid="{BA41EE31-D63B-45C9-8B2C-07283AA0A8FB}" name="Column3" dataDxfId="18"/>
    <tableColumn id="4" xr3:uid="{D24FB403-8566-40AA-A2BD-680C2B88E1DD}" name="Column4" dataDxfId="22"/>
    <tableColumn id="5" xr3:uid="{4AF42851-3A3A-4329-BD25-F21182599A26}" name="Column5" dataDxfId="21"/>
    <tableColumn id="6" xr3:uid="{7B8A4523-B13A-4DB1-AC2F-40D9B9C3B71A}" name="Column6" dataDxfId="20"/>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B1F7406-FDF4-4322-8E18-531A5E207A0F}" name="Table5" displayName="Table5" ref="A10:F14" totalsRowShown="0" dataDxfId="45" tableBorderDxfId="52">
  <autoFilter ref="A10:F14" xr:uid="{4B1F7406-FDF4-4322-8E18-531A5E207A0F}"/>
  <tableColumns count="6">
    <tableColumn id="1" xr3:uid="{7F98CB40-2D7E-4E30-BF82-AA320C606B54}" name="ANOVA" dataDxfId="51"/>
    <tableColumn id="2" xr3:uid="{67EE4BA2-1EDB-4200-8C37-04FEC4110D76}" name="Column1" dataDxfId="50"/>
    <tableColumn id="3" xr3:uid="{C8C429DB-1F17-4D3E-932B-D8539A981DFB}" name="Column2" dataDxfId="49"/>
    <tableColumn id="4" xr3:uid="{2B09FA34-0188-4FE7-B87F-EB80D58CE206}" name="Column3" dataDxfId="48"/>
    <tableColumn id="5" xr3:uid="{62A5E588-325D-4C45-A310-28B5DCB8826F}" name="Column4" dataDxfId="47"/>
    <tableColumn id="6" xr3:uid="{DEFB0D24-2CB7-45EC-BA3F-C8425E4B3A4A}" name="Column5" dataDxfId="46"/>
  </tableColumns>
  <tableStyleInfo name="TableStyleMedium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E6604AC-A66E-4C93-A0A1-7817A1FB450D}" name="Table6" displayName="Table6" ref="A3:B8" totalsRowShown="0" headerRowDxfId="39" dataDxfId="40" headerRowBorderDxfId="43" tableBorderDxfId="44">
  <autoFilter ref="A3:B8" xr:uid="{CE6604AC-A66E-4C93-A0A1-7817A1FB450D}"/>
  <tableColumns count="2">
    <tableColumn id="1" xr3:uid="{7ED0703A-9170-4678-99B6-62F7BA032D6D}" name="Regression Statistics" dataDxfId="42"/>
    <tableColumn id="2" xr3:uid="{AAB7BC10-7A10-4CAB-B23F-BCAEB2BCA99B}" name="Column1" dataDxfId="41"/>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68F155A-65B4-45CF-8E35-4E27886C9B52}" name="Table7" displayName="Table7" ref="A16:I18" totalsRowShown="0" headerRowDxfId="26" dataDxfId="27" headerRowBorderDxfId="37" tableBorderDxfId="38">
  <autoFilter ref="A16:I18" xr:uid="{168F155A-65B4-45CF-8E35-4E27886C9B52}"/>
  <tableColumns count="9">
    <tableColumn id="1" xr3:uid="{6D30F742-876B-4A9B-91F3-DB0B1AA1FC0E}" name="Column1" dataDxfId="36"/>
    <tableColumn id="2" xr3:uid="{5CA554BD-C07C-4E57-A228-886F625E50A5}" name="Coefficients" dataDxfId="35"/>
    <tableColumn id="3" xr3:uid="{121E8EC2-2AF9-420B-ABAC-19275B6B1085}" name="Standard Error" dataDxfId="34"/>
    <tableColumn id="4" xr3:uid="{8EAA1548-E032-4FC6-A97F-9C9BAFCC385D}" name="t Stat" dataDxfId="33"/>
    <tableColumn id="5" xr3:uid="{A2262DEF-D20F-4B14-B128-80DB3906BECB}" name="P-value" dataDxfId="32"/>
    <tableColumn id="6" xr3:uid="{911B7883-39E6-4E19-81D3-C7B11CD0615F}" name="Lower 95%" dataDxfId="31"/>
    <tableColumn id="7" xr3:uid="{A991C967-998C-4D32-BE85-4A27184421A1}" name="Upper 95%" dataDxfId="30"/>
    <tableColumn id="8" xr3:uid="{10448EE9-4C3C-41CE-978B-33FC33F77959}" name="Lower 95.0%" dataDxfId="29"/>
    <tableColumn id="9" xr3:uid="{8153F165-C3D1-40E5-879E-060FD68E0AF7}" name="Upper 95.0%" dataDxfId="28"/>
  </tableColumns>
  <tableStyleInfo name="TableStyleMedium1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1C9367-E5DB-4289-97A4-19FEFA6E2834}" name="Table1" displayName="Table1" ref="A1:L201" totalsRowShown="0" headerRowDxfId="65" dataDxfId="64" headerRowBorderDxfId="75" tableBorderDxfId="76">
  <autoFilter ref="A1:L201" xr:uid="{001C9367-E5DB-4289-97A4-19FEFA6E2834}"/>
  <tableColumns count="12">
    <tableColumn id="1" xr3:uid="{9CCEBFEE-A879-4E2F-BC95-167CC467697E}" name="Customer_ID" dataDxfId="74"/>
    <tableColumn id="2" xr3:uid="{D01EEA38-5DF7-45B0-87C5-0330E5CE7D11}" name="Customer_Name" dataDxfId="73"/>
    <tableColumn id="3" xr3:uid="{C35398D1-F05E-4501-9CDC-2234D1A9308C}" name="Region" dataDxfId="72"/>
    <tableColumn id="4" xr3:uid="{33238E59-48AB-458D-92F3-F43E0957F2A4}" name="Product_Category" dataDxfId="71"/>
    <tableColumn id="5" xr3:uid="{CFDCBEEE-5F51-4D66-87E8-1676E76BCE76}" name="Sales" dataDxfId="70"/>
    <tableColumn id="6" xr3:uid="{F321F415-ADD1-4EEF-B60D-17601994EC52}" name="Quantity" dataDxfId="69"/>
    <tableColumn id="7" xr3:uid="{4C95440E-D5B9-4957-9391-B656C099924A}" name="Discount" dataDxfId="68"/>
    <tableColumn id="8" xr3:uid="{7D2ECF95-E15A-4EF6-9B7A-BC2A14B5FD0A}" name="Order_Date" dataDxfId="62"/>
    <tableColumn id="9" xr3:uid="{CF163CF8-ACF0-409C-8EE8-0530EC6CA2FA}" name="Month" dataDxfId="67"/>
    <tableColumn id="10" xr3:uid="{11884B9C-24CB-4340-900E-52CBC36B7892}" name="Profit" dataDxfId="66"/>
    <tableColumn id="11" xr3:uid="{FB955CCF-0352-4B21-8A4E-6897F623A5AA}" name="Order Month." dataDxfId="63">
      <calculatedColumnFormula>EOMONTH(H2, -1) + 1</calculatedColumnFormula>
    </tableColumn>
    <tableColumn id="12" xr3:uid="{397CFB86-9C44-411E-9A07-50A2CD0D7B42}" name="Timestamp" dataDxfId="15">
      <calculatedColumnFormula>NOW()</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1EC00-FC4E-4771-9BED-24A8CFB7444D}">
  <dimension ref="F4:O6"/>
  <sheetViews>
    <sheetView showGridLines="0" zoomScale="40" zoomScaleNormal="40" workbookViewId="0">
      <selection activeCell="S34" sqref="S33:U34"/>
    </sheetView>
  </sheetViews>
  <sheetFormatPr defaultRowHeight="13.5"/>
  <cols>
    <col min="1" max="2" width="8.6640625" style="26"/>
    <col min="3" max="3" width="10.33203125" style="26" bestFit="1" customWidth="1"/>
    <col min="4" max="4" width="9.9140625" style="26" customWidth="1"/>
    <col min="5" max="5" width="11.1640625" style="26" customWidth="1"/>
    <col min="6" max="6" width="11.5" style="26" customWidth="1"/>
    <col min="7" max="16384" width="8.6640625" style="26"/>
  </cols>
  <sheetData>
    <row r="4" spans="6:15" s="26" customFormat="1">
      <c r="O4" s="27"/>
    </row>
    <row r="6" spans="6:15" s="26" customFormat="1">
      <c r="F6" s="2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A7894-E8BF-499D-979A-DD91182499AB}">
  <dimension ref="A1:J89"/>
  <sheetViews>
    <sheetView showGridLines="0" zoomScale="85" zoomScaleNormal="85" workbookViewId="0">
      <selection activeCell="M10" sqref="M10"/>
    </sheetView>
  </sheetViews>
  <sheetFormatPr defaultRowHeight="14.5"/>
  <cols>
    <col min="1" max="1" width="11.25" style="15" customWidth="1"/>
    <col min="2" max="2" width="17.33203125" style="15" customWidth="1"/>
    <col min="3" max="3" width="19.25" style="15" customWidth="1"/>
    <col min="4" max="4" width="10.25" style="15" customWidth="1"/>
    <col min="5" max="5" width="11.25" style="15" customWidth="1"/>
    <col min="6" max="6" width="4.9140625" style="15" customWidth="1"/>
    <col min="7" max="7" width="7.75" style="15" customWidth="1"/>
    <col min="8" max="8" width="8.6640625" style="15"/>
    <col min="9" max="9" width="10.83203125" style="15" customWidth="1"/>
    <col min="10" max="10" width="20.9140625" style="15" customWidth="1"/>
    <col min="11" max="11" width="8.6640625" style="15"/>
    <col min="12" max="16384" width="8" style="15"/>
  </cols>
  <sheetData>
    <row r="1" spans="1:10" ht="13.5">
      <c r="A1" s="15" t="s">
        <v>432</v>
      </c>
      <c r="B1" s="15" t="s">
        <v>433</v>
      </c>
      <c r="C1" s="15" t="s">
        <v>434</v>
      </c>
      <c r="D1" s="15" t="s">
        <v>428</v>
      </c>
      <c r="E1" s="15" t="s">
        <v>435</v>
      </c>
      <c r="F1" s="15" t="s">
        <v>436</v>
      </c>
      <c r="G1" s="17" t="s">
        <v>437</v>
      </c>
      <c r="I1" s="15" t="s">
        <v>485</v>
      </c>
      <c r="J1" s="15" t="s">
        <v>486</v>
      </c>
    </row>
    <row r="2" spans="1:10" ht="13.5">
      <c r="A2" s="15" t="s">
        <v>10</v>
      </c>
      <c r="B2" s="15" t="s">
        <v>210</v>
      </c>
      <c r="C2" s="15">
        <f>SUMIFS(DATA!E:E, DATA!A:A, A2)</f>
        <v>621.5</v>
      </c>
      <c r="D2" s="15">
        <f>SUMIFS(DATA!J:J, DATA!A:A, A2)</f>
        <v>157.49</v>
      </c>
      <c r="E2" s="15">
        <f>COUNTIF(DATA!A:A, A2)</f>
        <v>1</v>
      </c>
      <c r="F2" s="15">
        <f>RANK(C2, C:C)</f>
        <v>53</v>
      </c>
      <c r="G2" s="15" t="str">
        <f t="shared" ref="G2:G33" si="0">IF(F2&lt;=10, "Yes", "No")</f>
        <v>No</v>
      </c>
      <c r="I2" s="15">
        <v>1</v>
      </c>
      <c r="J2" s="15" t="str">
        <f t="shared" ref="J2:J11" si="1">INDEX(B:B, MATCH(I2, F:F, 0))</f>
        <v>Riley Martinez</v>
      </c>
    </row>
    <row r="3" spans="1:10" ht="13.5">
      <c r="A3" s="15" t="s">
        <v>11</v>
      </c>
      <c r="B3" s="15" t="s">
        <v>211</v>
      </c>
      <c r="C3" s="15">
        <f>SUMIFS(DATA!E:E, DATA!A:A, A3)</f>
        <v>348.85</v>
      </c>
      <c r="D3" s="15">
        <f>SUMIFS(DATA!J:J, DATA!A:A, A3)</f>
        <v>75.64</v>
      </c>
      <c r="E3" s="15">
        <f>COUNTIF(DATA!A:A, A3)</f>
        <v>1</v>
      </c>
      <c r="F3" s="15">
        <f>RANK(C3, C:C)</f>
        <v>71</v>
      </c>
      <c r="G3" s="17" t="str">
        <f t="shared" si="0"/>
        <v>No</v>
      </c>
      <c r="I3" s="15">
        <v>2</v>
      </c>
      <c r="J3" s="15" t="str">
        <f t="shared" si="1"/>
        <v>Skyler Miller</v>
      </c>
    </row>
    <row r="4" spans="1:10" ht="13.5">
      <c r="A4" s="15" t="s">
        <v>12</v>
      </c>
      <c r="B4" s="15" t="s">
        <v>212</v>
      </c>
      <c r="C4" s="15">
        <f>SUMIFS(DATA!E:E, DATA!A:A, A4)</f>
        <v>706.32</v>
      </c>
      <c r="D4" s="15">
        <f>SUMIFS(DATA!J:J, DATA!A:A, A4)</f>
        <v>128.78</v>
      </c>
      <c r="E4" s="15">
        <f>COUNTIF(DATA!A:A, A4)</f>
        <v>1</v>
      </c>
      <c r="F4" s="15">
        <f>RANK(C4, C:C)</f>
        <v>46</v>
      </c>
      <c r="G4" s="17" t="str">
        <f t="shared" si="0"/>
        <v>No</v>
      </c>
      <c r="I4" s="15">
        <v>3</v>
      </c>
      <c r="J4" s="15" t="str">
        <f t="shared" si="1"/>
        <v>Alex Garcia</v>
      </c>
    </row>
    <row r="5" spans="1:10" ht="13.5">
      <c r="A5" s="15" t="s">
        <v>13</v>
      </c>
      <c r="B5" s="15" t="s">
        <v>213</v>
      </c>
      <c r="C5" s="15">
        <f>SUMIFS(DATA!E:E, DATA!A:A, A5)</f>
        <v>1468.41</v>
      </c>
      <c r="D5" s="15">
        <f>SUMIFS(DATA!J:J, DATA!A:A, A5)</f>
        <v>410.73</v>
      </c>
      <c r="E5" s="15">
        <f>COUNTIF(DATA!A:A, A5)</f>
        <v>1</v>
      </c>
      <c r="F5" s="15">
        <f>RANK(C5, C:C)</f>
        <v>19</v>
      </c>
      <c r="G5" s="17" t="str">
        <f t="shared" si="0"/>
        <v>No</v>
      </c>
      <c r="I5" s="15">
        <v>4</v>
      </c>
      <c r="J5" s="15" t="str">
        <f t="shared" si="1"/>
        <v>Riley Williams</v>
      </c>
    </row>
    <row r="6" spans="1:10" ht="13.5">
      <c r="A6" s="15" t="s">
        <v>14</v>
      </c>
      <c r="B6" s="15" t="s">
        <v>214</v>
      </c>
      <c r="C6" s="15">
        <f>SUMIFS(DATA!E:E, DATA!A:A, A6)</f>
        <v>126.64</v>
      </c>
      <c r="D6" s="15">
        <f>SUMIFS(DATA!J:J, DATA!A:A, A6)</f>
        <v>31.19</v>
      </c>
      <c r="E6" s="15">
        <f>COUNTIF(DATA!A:A, A6)</f>
        <v>1</v>
      </c>
      <c r="F6" s="15">
        <f>RANK(C6, C:C)</f>
        <v>84</v>
      </c>
      <c r="G6" s="17" t="str">
        <f t="shared" si="0"/>
        <v>No</v>
      </c>
      <c r="I6" s="15">
        <v>5</v>
      </c>
      <c r="J6" s="15" t="str">
        <f t="shared" si="1"/>
        <v>Morgan Jones</v>
      </c>
    </row>
    <row r="7" spans="1:10" ht="13.5">
      <c r="A7" s="15" t="s">
        <v>15</v>
      </c>
      <c r="B7" s="15" t="s">
        <v>215</v>
      </c>
      <c r="C7" s="15">
        <f>SUMIFS(DATA!E:E, DATA!A:A, A7)</f>
        <v>201.14</v>
      </c>
      <c r="D7" s="15">
        <f>SUMIFS(DATA!J:J, DATA!A:A, A7)</f>
        <v>30.54</v>
      </c>
      <c r="E7" s="15">
        <f>COUNTIF(DATA!A:A, A7)</f>
        <v>1</v>
      </c>
      <c r="F7" s="15">
        <f>RANK(C7, C:C)</f>
        <v>73</v>
      </c>
      <c r="G7" s="17" t="str">
        <f t="shared" si="0"/>
        <v>No</v>
      </c>
      <c r="I7" s="15">
        <v>6</v>
      </c>
      <c r="J7" s="15" t="str">
        <f t="shared" si="1"/>
        <v>Cameron Rodriguez</v>
      </c>
    </row>
    <row r="8" spans="1:10" ht="13.5">
      <c r="A8" s="15" t="s">
        <v>16</v>
      </c>
      <c r="B8" s="15" t="s">
        <v>216</v>
      </c>
      <c r="C8" s="15">
        <f>SUMIFS(DATA!E:E, DATA!A:A, A8)</f>
        <v>116.23</v>
      </c>
      <c r="D8" s="15">
        <f>SUMIFS(DATA!J:J, DATA!A:A, A8)</f>
        <v>16.89</v>
      </c>
      <c r="E8" s="15">
        <f>COUNTIF(DATA!A:A, A8)</f>
        <v>1</v>
      </c>
      <c r="F8" s="15">
        <f>RANK(C8, C:C)</f>
        <v>85</v>
      </c>
      <c r="G8" s="17" t="str">
        <f t="shared" si="0"/>
        <v>No</v>
      </c>
      <c r="I8" s="15">
        <v>7</v>
      </c>
      <c r="J8" s="15" t="str">
        <f t="shared" si="1"/>
        <v>Morgan Martinez</v>
      </c>
    </row>
    <row r="9" spans="1:10" ht="13.5">
      <c r="A9" s="15" t="s">
        <v>17</v>
      </c>
      <c r="B9" s="15" t="s">
        <v>217</v>
      </c>
      <c r="C9" s="15">
        <f>SUMIFS(DATA!E:E, DATA!A:A, A9)</f>
        <v>480.81</v>
      </c>
      <c r="D9" s="15">
        <f>SUMIFS(DATA!J:J, DATA!A:A, A9)</f>
        <v>111.88</v>
      </c>
      <c r="E9" s="15">
        <f>COUNTIF(DATA!A:A, A9)</f>
        <v>1</v>
      </c>
      <c r="F9" s="15">
        <f>RANK(C9, C:C)</f>
        <v>58</v>
      </c>
      <c r="G9" s="17" t="str">
        <f t="shared" si="0"/>
        <v>No</v>
      </c>
      <c r="I9" s="15">
        <v>8</v>
      </c>
      <c r="J9" s="15" t="str">
        <f t="shared" si="1"/>
        <v>Skyler Johnson</v>
      </c>
    </row>
    <row r="10" spans="1:10" ht="13.5">
      <c r="A10" s="15" t="s">
        <v>18</v>
      </c>
      <c r="B10" s="15" t="s">
        <v>218</v>
      </c>
      <c r="C10" s="15">
        <f>SUMIFS(DATA!E:E, DATA!A:A, A10)</f>
        <v>1632.36</v>
      </c>
      <c r="D10" s="15">
        <f>SUMIFS(DATA!J:J, DATA!A:A, A10)</f>
        <v>328.12</v>
      </c>
      <c r="E10" s="15">
        <f>COUNTIF(DATA!A:A, A10)</f>
        <v>1</v>
      </c>
      <c r="F10" s="15">
        <f>RANK(C10, C:C)</f>
        <v>16</v>
      </c>
      <c r="G10" s="17" t="str">
        <f t="shared" si="0"/>
        <v>No</v>
      </c>
      <c r="I10" s="15">
        <v>9</v>
      </c>
      <c r="J10" s="15" t="str">
        <f t="shared" si="1"/>
        <v>Riley Miller</v>
      </c>
    </row>
    <row r="11" spans="1:10" ht="13.5">
      <c r="A11" s="15" t="s">
        <v>19</v>
      </c>
      <c r="B11" s="15" t="s">
        <v>219</v>
      </c>
      <c r="C11" s="15">
        <f>SUMIFS(DATA!E:E, DATA!A:A, A11)</f>
        <v>666.63</v>
      </c>
      <c r="D11" s="15">
        <f>SUMIFS(DATA!J:J, DATA!A:A, A11)</f>
        <v>88.1</v>
      </c>
      <c r="E11" s="15">
        <f>COUNTIF(DATA!A:A, A11)</f>
        <v>1</v>
      </c>
      <c r="F11" s="15">
        <f>RANK(C11, C:C)</f>
        <v>48</v>
      </c>
      <c r="G11" s="17" t="str">
        <f t="shared" si="0"/>
        <v>No</v>
      </c>
      <c r="I11" s="15">
        <v>10</v>
      </c>
      <c r="J11" s="15" t="str">
        <f t="shared" si="1"/>
        <v>Taylor Smith</v>
      </c>
    </row>
    <row r="12" spans="1:10" ht="13.5">
      <c r="A12" s="15" t="s">
        <v>20</v>
      </c>
      <c r="B12" s="15" t="s">
        <v>220</v>
      </c>
      <c r="C12" s="15">
        <f>SUMIFS(DATA!E:E, DATA!A:A, A12)</f>
        <v>1808.23</v>
      </c>
      <c r="D12" s="15">
        <f>SUMIFS(DATA!J:J, DATA!A:A, A12)</f>
        <v>560.09</v>
      </c>
      <c r="E12" s="15">
        <f>COUNTIF(DATA!A:A, A12)</f>
        <v>1</v>
      </c>
      <c r="F12" s="15">
        <f>RANK(C12, C:C)</f>
        <v>12</v>
      </c>
      <c r="G12" s="17" t="str">
        <f t="shared" si="0"/>
        <v>No</v>
      </c>
    </row>
    <row r="13" spans="1:10" ht="13.5">
      <c r="A13" s="15" t="s">
        <v>21</v>
      </c>
      <c r="B13" s="15" t="s">
        <v>221</v>
      </c>
      <c r="C13" s="15">
        <f>SUMIFS(DATA!E:E, DATA!A:A, A13)</f>
        <v>415.71</v>
      </c>
      <c r="D13" s="15">
        <f>SUMIFS(DATA!J:J, DATA!A:A, A13)</f>
        <v>130.27000000000001</v>
      </c>
      <c r="E13" s="15">
        <f>COUNTIF(DATA!A:A, A13)</f>
        <v>1</v>
      </c>
      <c r="F13" s="15">
        <f>RANK(C13, C:C)</f>
        <v>66</v>
      </c>
      <c r="G13" s="17" t="str">
        <f t="shared" si="0"/>
        <v>No</v>
      </c>
    </row>
    <row r="14" spans="1:10" ht="13.5">
      <c r="A14" s="15" t="s">
        <v>22</v>
      </c>
      <c r="B14" s="15" t="s">
        <v>222</v>
      </c>
      <c r="C14" s="15">
        <f>SUMIFS(DATA!E:E, DATA!A:A, A14)</f>
        <v>239.96</v>
      </c>
      <c r="D14" s="15">
        <f>SUMIFS(DATA!J:J, DATA!A:A, A14)</f>
        <v>67.28</v>
      </c>
      <c r="E14" s="15">
        <f>COUNTIF(DATA!A:A, A14)</f>
        <v>1</v>
      </c>
      <c r="F14" s="15">
        <f>RANK(C14, C:C)</f>
        <v>72</v>
      </c>
      <c r="G14" s="17" t="str">
        <f t="shared" si="0"/>
        <v>No</v>
      </c>
    </row>
    <row r="15" spans="1:10" ht="13.5">
      <c r="A15" s="15" t="s">
        <v>23</v>
      </c>
      <c r="B15" s="15" t="s">
        <v>223</v>
      </c>
      <c r="C15" s="15">
        <f>SUMIFS(DATA!E:E, DATA!A:A, A15)</f>
        <v>537.21</v>
      </c>
      <c r="D15" s="15">
        <f>SUMIFS(DATA!J:J, DATA!A:A, A15)</f>
        <v>118.11</v>
      </c>
      <c r="E15" s="15">
        <f>COUNTIF(DATA!A:A, A15)</f>
        <v>1</v>
      </c>
      <c r="F15" s="15">
        <f>RANK(C15, C:C)</f>
        <v>55</v>
      </c>
      <c r="G15" s="17" t="str">
        <f t="shared" si="0"/>
        <v>No</v>
      </c>
    </row>
    <row r="16" spans="1:10" ht="13.5">
      <c r="A16" s="15" t="s">
        <v>24</v>
      </c>
      <c r="B16" s="15" t="s">
        <v>224</v>
      </c>
      <c r="C16" s="15">
        <f>SUMIFS(DATA!E:E, DATA!A:A, A16)</f>
        <v>374.55</v>
      </c>
      <c r="D16" s="15">
        <f>SUMIFS(DATA!J:J, DATA!A:A, A16)</f>
        <v>128.26</v>
      </c>
      <c r="E16" s="15">
        <f>COUNTIF(DATA!A:A, A16)</f>
        <v>1</v>
      </c>
      <c r="F16" s="15">
        <f>RANK(C16, C:C)</f>
        <v>68</v>
      </c>
      <c r="G16" s="17" t="str">
        <f t="shared" si="0"/>
        <v>No</v>
      </c>
    </row>
    <row r="17" spans="1:7" ht="13.5">
      <c r="A17" s="15" t="s">
        <v>25</v>
      </c>
      <c r="B17" s="15" t="s">
        <v>225</v>
      </c>
      <c r="C17" s="15">
        <f>SUMIFS(DATA!E:E, DATA!A:A, A17)</f>
        <v>597.13</v>
      </c>
      <c r="D17" s="15">
        <f>SUMIFS(DATA!J:J, DATA!A:A, A17)</f>
        <v>102.97</v>
      </c>
      <c r="E17" s="15">
        <f>COUNTIF(DATA!A:A, A17)</f>
        <v>1</v>
      </c>
      <c r="F17" s="15">
        <f>RANK(C17, C:C)</f>
        <v>54</v>
      </c>
      <c r="G17" s="17" t="str">
        <f t="shared" si="0"/>
        <v>No</v>
      </c>
    </row>
    <row r="18" spans="1:7" ht="13.5">
      <c r="A18" s="15" t="s">
        <v>26</v>
      </c>
      <c r="B18" s="15" t="s">
        <v>226</v>
      </c>
      <c r="C18" s="15">
        <f>SUMIFS(DATA!E:E, DATA!A:A, A18)</f>
        <v>1153.02</v>
      </c>
      <c r="D18" s="15">
        <f>SUMIFS(DATA!J:J, DATA!A:A, A18)</f>
        <v>305.64</v>
      </c>
      <c r="E18" s="15">
        <f>COUNTIF(DATA!A:A, A18)</f>
        <v>1</v>
      </c>
      <c r="F18" s="15">
        <f>RANK(C18, C:C)</f>
        <v>28</v>
      </c>
      <c r="G18" s="17" t="str">
        <f t="shared" si="0"/>
        <v>No</v>
      </c>
    </row>
    <row r="19" spans="1:7" ht="13.5">
      <c r="A19" s="15" t="s">
        <v>27</v>
      </c>
      <c r="B19" s="15" t="s">
        <v>227</v>
      </c>
      <c r="C19" s="15">
        <f>SUMIFS(DATA!E:E, DATA!A:A, A19)</f>
        <v>160.79</v>
      </c>
      <c r="D19" s="15">
        <f>SUMIFS(DATA!J:J, DATA!A:A, A19)</f>
        <v>56.16</v>
      </c>
      <c r="E19" s="15">
        <f>COUNTIF(DATA!A:A, A19)</f>
        <v>1</v>
      </c>
      <c r="F19" s="15">
        <f>RANK(C19, C:C)</f>
        <v>77</v>
      </c>
      <c r="G19" s="17" t="str">
        <f t="shared" si="0"/>
        <v>No</v>
      </c>
    </row>
    <row r="20" spans="1:7" ht="13.5">
      <c r="A20" s="15" t="s">
        <v>28</v>
      </c>
      <c r="B20" s="15" t="s">
        <v>228</v>
      </c>
      <c r="C20" s="15">
        <f>SUMIFS(DATA!E:E, DATA!A:A, A20)</f>
        <v>838.43</v>
      </c>
      <c r="D20" s="15">
        <f>SUMIFS(DATA!J:J, DATA!A:A, A20)</f>
        <v>213.74</v>
      </c>
      <c r="E20" s="15">
        <f>COUNTIF(DATA!A:A, A20)</f>
        <v>1</v>
      </c>
      <c r="F20" s="15">
        <f>RANK(C20, C:C)</f>
        <v>40</v>
      </c>
      <c r="G20" s="17" t="str">
        <f t="shared" si="0"/>
        <v>No</v>
      </c>
    </row>
    <row r="21" spans="1:7" ht="13.5">
      <c r="A21" s="15" t="s">
        <v>29</v>
      </c>
      <c r="B21" s="15" t="s">
        <v>229</v>
      </c>
      <c r="C21" s="15">
        <f>SUMIFS(DATA!E:E, DATA!A:A, A21)</f>
        <v>364.13</v>
      </c>
      <c r="D21" s="15">
        <f>SUMIFS(DATA!J:J, DATA!A:A, A21)</f>
        <v>125.57</v>
      </c>
      <c r="E21" s="15">
        <f>COUNTIF(DATA!A:A, A21)</f>
        <v>1</v>
      </c>
      <c r="F21" s="15">
        <f>RANK(C21, C:C)</f>
        <v>70</v>
      </c>
      <c r="G21" s="17" t="str">
        <f t="shared" si="0"/>
        <v>No</v>
      </c>
    </row>
    <row r="22" spans="1:7" ht="13.5">
      <c r="A22" s="15" t="s">
        <v>30</v>
      </c>
      <c r="B22" s="15" t="s">
        <v>230</v>
      </c>
      <c r="C22" s="15">
        <f>SUMIFS(DATA!E:E, DATA!A:A, A22)</f>
        <v>2300.33</v>
      </c>
      <c r="D22" s="15">
        <f>SUMIFS(DATA!J:J, DATA!A:A, A22)</f>
        <v>647.59</v>
      </c>
      <c r="E22" s="15">
        <f>COUNTIF(DATA!A:A, A22)</f>
        <v>1</v>
      </c>
      <c r="F22" s="15">
        <f>RANK(C22, C:C)</f>
        <v>1</v>
      </c>
      <c r="G22" s="17" t="str">
        <f t="shared" si="0"/>
        <v>Yes</v>
      </c>
    </row>
    <row r="23" spans="1:7" ht="13.5">
      <c r="A23" s="15" t="s">
        <v>32</v>
      </c>
      <c r="B23" s="15" t="s">
        <v>231</v>
      </c>
      <c r="C23" s="15">
        <f>SUMIFS(DATA!E:E, DATA!A:A, A23)</f>
        <v>1341.8</v>
      </c>
      <c r="D23" s="15">
        <f>SUMIFS(DATA!J:J, DATA!A:A, A23)</f>
        <v>293.5</v>
      </c>
      <c r="E23" s="15">
        <f>COUNTIF(DATA!A:A, A23)</f>
        <v>1</v>
      </c>
      <c r="F23" s="15">
        <f>RANK(C23, C:C)</f>
        <v>23</v>
      </c>
      <c r="G23" s="17" t="str">
        <f t="shared" si="0"/>
        <v>No</v>
      </c>
    </row>
    <row r="24" spans="1:7" ht="13.5">
      <c r="A24" s="15" t="s">
        <v>35</v>
      </c>
      <c r="B24" s="15" t="s">
        <v>232</v>
      </c>
      <c r="C24" s="15">
        <f>SUMIFS(DATA!E:E, DATA!A:A, A24)</f>
        <v>951.33</v>
      </c>
      <c r="D24" s="15">
        <f>SUMIFS(DATA!J:J, DATA!A:A, A24)</f>
        <v>189.12</v>
      </c>
      <c r="E24" s="15">
        <f>COUNTIF(DATA!A:A, A24)</f>
        <v>1</v>
      </c>
      <c r="F24" s="15">
        <f>RANK(C24, C:C)</f>
        <v>35</v>
      </c>
      <c r="G24" s="17" t="str">
        <f t="shared" si="0"/>
        <v>No</v>
      </c>
    </row>
    <row r="25" spans="1:7" ht="13.5">
      <c r="A25" s="15" t="s">
        <v>37</v>
      </c>
      <c r="B25" s="15" t="s">
        <v>233</v>
      </c>
      <c r="C25" s="15">
        <f>SUMIFS(DATA!E:E, DATA!A:A, A25)</f>
        <v>902.56</v>
      </c>
      <c r="D25" s="15">
        <f>SUMIFS(DATA!J:J, DATA!A:A, A25)</f>
        <v>206.34</v>
      </c>
      <c r="E25" s="15">
        <f>COUNTIF(DATA!A:A, A25)</f>
        <v>1</v>
      </c>
      <c r="F25" s="15">
        <f>RANK(C25, C:C)</f>
        <v>36</v>
      </c>
      <c r="G25" s="17" t="str">
        <f t="shared" si="0"/>
        <v>No</v>
      </c>
    </row>
    <row r="26" spans="1:7" ht="13.5">
      <c r="A26" s="15" t="s">
        <v>38</v>
      </c>
      <c r="B26" s="15" t="s">
        <v>234</v>
      </c>
      <c r="C26" s="15">
        <f>SUMIFS(DATA!E:E, DATA!A:A, A26)</f>
        <v>519.42999999999995</v>
      </c>
      <c r="D26" s="15">
        <f>SUMIFS(DATA!J:J, DATA!A:A, A26)</f>
        <v>157.6</v>
      </c>
      <c r="E26" s="15">
        <f>COUNTIF(DATA!A:A, A26)</f>
        <v>1</v>
      </c>
      <c r="F26" s="15">
        <f>RANK(C26, C:C)</f>
        <v>56</v>
      </c>
      <c r="G26" s="17" t="str">
        <f t="shared" si="0"/>
        <v>No</v>
      </c>
    </row>
    <row r="27" spans="1:7" ht="13.5">
      <c r="A27" s="15" t="s">
        <v>39</v>
      </c>
      <c r="B27" s="15" t="s">
        <v>235</v>
      </c>
      <c r="C27" s="15">
        <f>SUMIFS(DATA!E:E, DATA!A:A, A27)</f>
        <v>138.21</v>
      </c>
      <c r="D27" s="15">
        <f>SUMIFS(DATA!J:J, DATA!A:A, A27)</f>
        <v>41.63</v>
      </c>
      <c r="E27" s="15">
        <f>COUNTIF(DATA!A:A, A27)</f>
        <v>1</v>
      </c>
      <c r="F27" s="15">
        <f>RANK(C27, C:C)</f>
        <v>80</v>
      </c>
      <c r="G27" s="17" t="str">
        <f t="shared" si="0"/>
        <v>No</v>
      </c>
    </row>
    <row r="28" spans="1:7" ht="13.5">
      <c r="A28" s="15" t="s">
        <v>41</v>
      </c>
      <c r="B28" s="15" t="s">
        <v>236</v>
      </c>
      <c r="C28" s="15">
        <f>SUMIFS(DATA!E:E, DATA!A:A, A28)</f>
        <v>179.35</v>
      </c>
      <c r="D28" s="15">
        <f>SUMIFS(DATA!J:J, DATA!A:A, A28)</f>
        <v>35.96</v>
      </c>
      <c r="E28" s="15">
        <f>COUNTIF(DATA!A:A, A28)</f>
        <v>1</v>
      </c>
      <c r="F28" s="15">
        <f>RANK(C28, C:C)</f>
        <v>76</v>
      </c>
      <c r="G28" s="17" t="str">
        <f t="shared" si="0"/>
        <v>No</v>
      </c>
    </row>
    <row r="29" spans="1:7" ht="13.5">
      <c r="A29" s="15" t="s">
        <v>42</v>
      </c>
      <c r="B29" s="15" t="s">
        <v>237</v>
      </c>
      <c r="C29" s="15">
        <f>SUMIFS(DATA!E:E, DATA!A:A, A29)</f>
        <v>776.06</v>
      </c>
      <c r="D29" s="15">
        <f>SUMIFS(DATA!J:J, DATA!A:A, A29)</f>
        <v>186.55</v>
      </c>
      <c r="E29" s="15">
        <f>COUNTIF(DATA!A:A, A29)</f>
        <v>1</v>
      </c>
      <c r="F29" s="15">
        <f>RANK(C29, C:C)</f>
        <v>42</v>
      </c>
      <c r="G29" s="17" t="str">
        <f t="shared" si="0"/>
        <v>No</v>
      </c>
    </row>
    <row r="30" spans="1:7" ht="13.5">
      <c r="A30" s="15" t="s">
        <v>43</v>
      </c>
      <c r="B30" s="15" t="s">
        <v>238</v>
      </c>
      <c r="C30" s="15">
        <f>SUMIFS(DATA!E:E, DATA!A:A, A30)</f>
        <v>1307.73</v>
      </c>
      <c r="D30" s="15">
        <f>SUMIFS(DATA!J:J, DATA!A:A, A30)</f>
        <v>259.58999999999997</v>
      </c>
      <c r="E30" s="15">
        <f>COUNTIF(DATA!A:A, A30)</f>
        <v>1</v>
      </c>
      <c r="F30" s="15">
        <f>RANK(C30, C:C)</f>
        <v>24</v>
      </c>
      <c r="G30" s="17" t="str">
        <f t="shared" si="0"/>
        <v>No</v>
      </c>
    </row>
    <row r="31" spans="1:7" ht="13.5">
      <c r="A31" s="15" t="s">
        <v>44</v>
      </c>
      <c r="B31" s="15" t="s">
        <v>239</v>
      </c>
      <c r="C31" s="15">
        <f>SUMIFS(DATA!E:E, DATA!A:A, A31)</f>
        <v>830.78</v>
      </c>
      <c r="D31" s="15">
        <f>SUMIFS(DATA!J:J, DATA!A:A, A31)</f>
        <v>177.83</v>
      </c>
      <c r="E31" s="15">
        <f>COUNTIF(DATA!A:A, A31)</f>
        <v>1</v>
      </c>
      <c r="F31" s="15">
        <f>RANK(C31, C:C)</f>
        <v>41</v>
      </c>
      <c r="G31" s="17" t="str">
        <f t="shared" si="0"/>
        <v>No</v>
      </c>
    </row>
    <row r="32" spans="1:7" ht="13.5">
      <c r="A32" s="15" t="s">
        <v>46</v>
      </c>
      <c r="B32" s="15" t="s">
        <v>240</v>
      </c>
      <c r="C32" s="15">
        <f>SUMIFS(DATA!E:E, DATA!A:A, A32)</f>
        <v>1095.45</v>
      </c>
      <c r="D32" s="15">
        <f>SUMIFS(DATA!J:J, DATA!A:A, A32)</f>
        <v>253.22</v>
      </c>
      <c r="E32" s="15">
        <f>COUNTIF(DATA!A:A, A32)</f>
        <v>1</v>
      </c>
      <c r="F32" s="15">
        <f>RANK(C32, C:C)</f>
        <v>30</v>
      </c>
      <c r="G32" s="17" t="str">
        <f t="shared" si="0"/>
        <v>No</v>
      </c>
    </row>
    <row r="33" spans="1:7" ht="13.5">
      <c r="A33" s="15" t="s">
        <v>47</v>
      </c>
      <c r="B33" s="15" t="s">
        <v>241</v>
      </c>
      <c r="C33" s="15">
        <f>SUMIFS(DATA!E:E, DATA!A:A, A33)</f>
        <v>367.81</v>
      </c>
      <c r="D33" s="15">
        <f>SUMIFS(DATA!J:J, DATA!A:A, A33)</f>
        <v>75.349999999999994</v>
      </c>
      <c r="E33" s="15">
        <f>COUNTIF(DATA!A:A, A33)</f>
        <v>1</v>
      </c>
      <c r="F33" s="15">
        <f>RANK(C33, C:C)</f>
        <v>69</v>
      </c>
      <c r="G33" s="17" t="str">
        <f t="shared" si="0"/>
        <v>No</v>
      </c>
    </row>
    <row r="34" spans="1:7" ht="13.5">
      <c r="A34" s="15" t="s">
        <v>48</v>
      </c>
      <c r="B34" s="15" t="s">
        <v>242</v>
      </c>
      <c r="C34" s="15">
        <f>SUMIFS(DATA!E:E, DATA!A:A, A34)</f>
        <v>1658.95</v>
      </c>
      <c r="D34" s="15">
        <f>SUMIFS(DATA!J:J, DATA!A:A, A34)</f>
        <v>380.06</v>
      </c>
      <c r="E34" s="15">
        <f>COUNTIF(DATA!A:A, A34)</f>
        <v>1</v>
      </c>
      <c r="F34" s="15">
        <f>RANK(C34, C:C)</f>
        <v>15</v>
      </c>
      <c r="G34" s="17" t="str">
        <f t="shared" ref="G34:G65" si="2">IF(F34&lt;=10, "Yes", "No")</f>
        <v>No</v>
      </c>
    </row>
    <row r="35" spans="1:7" ht="13.5">
      <c r="A35" s="15" t="s">
        <v>51</v>
      </c>
      <c r="B35" s="15" t="s">
        <v>243</v>
      </c>
      <c r="C35" s="15">
        <f>SUMIFS(DATA!E:E, DATA!A:A, A35)</f>
        <v>711.81</v>
      </c>
      <c r="D35" s="15">
        <f>SUMIFS(DATA!J:J, DATA!A:A, A35)</f>
        <v>260.37</v>
      </c>
      <c r="E35" s="15">
        <f>COUNTIF(DATA!A:A, A35)</f>
        <v>1</v>
      </c>
      <c r="F35" s="15">
        <f>RANK(C35, C:C)</f>
        <v>45</v>
      </c>
      <c r="G35" s="17" t="str">
        <f t="shared" si="2"/>
        <v>No</v>
      </c>
    </row>
    <row r="36" spans="1:7" ht="13.5">
      <c r="A36" s="15" t="s">
        <v>52</v>
      </c>
      <c r="B36" s="15" t="s">
        <v>244</v>
      </c>
      <c r="C36" s="15">
        <f>SUMIFS(DATA!E:E, DATA!A:A, A36)</f>
        <v>1734.4</v>
      </c>
      <c r="D36" s="15">
        <f>SUMIFS(DATA!J:J, DATA!A:A, A36)</f>
        <v>534.15</v>
      </c>
      <c r="E36" s="15">
        <f>COUNTIF(DATA!A:A, A36)</f>
        <v>1</v>
      </c>
      <c r="F36" s="15">
        <f>RANK(C36, C:C)</f>
        <v>14</v>
      </c>
      <c r="G36" s="17" t="str">
        <f t="shared" si="2"/>
        <v>No</v>
      </c>
    </row>
    <row r="37" spans="1:7" ht="13.5">
      <c r="A37" s="15" t="s">
        <v>53</v>
      </c>
      <c r="B37" s="15" t="s">
        <v>245</v>
      </c>
      <c r="C37" s="15">
        <f>SUMIFS(DATA!E:E, DATA!A:A, A37)</f>
        <v>1947.36</v>
      </c>
      <c r="D37" s="15">
        <f>SUMIFS(DATA!J:J, DATA!A:A, A37)</f>
        <v>338.9</v>
      </c>
      <c r="E37" s="15">
        <f>COUNTIF(DATA!A:A, A37)</f>
        <v>1</v>
      </c>
      <c r="F37" s="15">
        <f>RANK(C37, C:C)</f>
        <v>9</v>
      </c>
      <c r="G37" s="17" t="str">
        <f t="shared" si="2"/>
        <v>Yes</v>
      </c>
    </row>
    <row r="38" spans="1:7" ht="13.5">
      <c r="A38" s="15" t="s">
        <v>55</v>
      </c>
      <c r="B38" s="15" t="s">
        <v>246</v>
      </c>
      <c r="C38" s="15">
        <f>SUMIFS(DATA!E:E, DATA!A:A, A38)</f>
        <v>1961.76</v>
      </c>
      <c r="D38" s="15">
        <f>SUMIFS(DATA!J:J, DATA!A:A, A38)</f>
        <v>707.54</v>
      </c>
      <c r="E38" s="15">
        <f>COUNTIF(DATA!A:A, A38)</f>
        <v>1</v>
      </c>
      <c r="F38" s="15">
        <f>RANK(C38, C:C)</f>
        <v>7</v>
      </c>
      <c r="G38" s="17" t="str">
        <f t="shared" si="2"/>
        <v>Yes</v>
      </c>
    </row>
    <row r="39" spans="1:7" ht="13.5">
      <c r="A39" s="15" t="s">
        <v>57</v>
      </c>
      <c r="B39" s="15" t="s">
        <v>247</v>
      </c>
      <c r="C39" s="15">
        <f>SUMIFS(DATA!E:E, DATA!A:A, A39)</f>
        <v>2259.0300000000002</v>
      </c>
      <c r="D39" s="15">
        <f>SUMIFS(DATA!J:J, DATA!A:A, A39)</f>
        <v>775.59</v>
      </c>
      <c r="E39" s="15">
        <f>COUNTIF(DATA!A:A, A39)</f>
        <v>1</v>
      </c>
      <c r="F39" s="15">
        <f>RANK(C39, C:C)</f>
        <v>2</v>
      </c>
      <c r="G39" s="17" t="str">
        <f t="shared" si="2"/>
        <v>Yes</v>
      </c>
    </row>
    <row r="40" spans="1:7" ht="13.5">
      <c r="A40" s="15" t="s">
        <v>58</v>
      </c>
      <c r="B40" s="15" t="s">
        <v>248</v>
      </c>
      <c r="C40" s="15">
        <f>SUMIFS(DATA!E:E, DATA!A:A, A40)</f>
        <v>68.64</v>
      </c>
      <c r="D40" s="15">
        <f>SUMIFS(DATA!J:J, DATA!A:A, A40)</f>
        <v>21.81</v>
      </c>
      <c r="E40" s="15">
        <f>COUNTIF(DATA!A:A, A40)</f>
        <v>1</v>
      </c>
      <c r="F40" s="15">
        <f>RANK(C40, C:C)</f>
        <v>88</v>
      </c>
      <c r="G40" s="17" t="str">
        <f t="shared" si="2"/>
        <v>No</v>
      </c>
    </row>
    <row r="41" spans="1:7" ht="13.5">
      <c r="A41" s="15" t="s">
        <v>59</v>
      </c>
      <c r="B41" s="15" t="s">
        <v>249</v>
      </c>
      <c r="C41" s="15">
        <f>SUMIFS(DATA!E:E, DATA!A:A, A41)</f>
        <v>885.44</v>
      </c>
      <c r="D41" s="15">
        <f>SUMIFS(DATA!J:J, DATA!A:A, A41)</f>
        <v>283.87</v>
      </c>
      <c r="E41" s="15">
        <f>COUNTIF(DATA!A:A, A41)</f>
        <v>1</v>
      </c>
      <c r="F41" s="15">
        <f>RANK(C41, C:C)</f>
        <v>37</v>
      </c>
      <c r="G41" s="17" t="str">
        <f t="shared" si="2"/>
        <v>No</v>
      </c>
    </row>
    <row r="42" spans="1:7" ht="13.5">
      <c r="A42" s="15" t="s">
        <v>61</v>
      </c>
      <c r="B42" s="15" t="s">
        <v>250</v>
      </c>
      <c r="C42" s="15">
        <f>SUMIFS(DATA!E:E, DATA!A:A, A42)</f>
        <v>717.42</v>
      </c>
      <c r="D42" s="15">
        <f>SUMIFS(DATA!J:J, DATA!A:A, A42)</f>
        <v>144.93</v>
      </c>
      <c r="E42" s="15">
        <f>COUNTIF(DATA!A:A, A42)</f>
        <v>1</v>
      </c>
      <c r="F42" s="15">
        <f>RANK(C42, C:C)</f>
        <v>44</v>
      </c>
      <c r="G42" s="17" t="str">
        <f t="shared" si="2"/>
        <v>No</v>
      </c>
    </row>
    <row r="43" spans="1:7" ht="13.5">
      <c r="A43" s="15" t="s">
        <v>62</v>
      </c>
      <c r="B43" s="15" t="s">
        <v>251</v>
      </c>
      <c r="C43" s="15">
        <f>SUMIFS(DATA!E:E, DATA!A:A, A43)</f>
        <v>979.11</v>
      </c>
      <c r="D43" s="15">
        <f>SUMIFS(DATA!J:J, DATA!A:A, A43)</f>
        <v>313.54000000000002</v>
      </c>
      <c r="E43" s="15">
        <f>COUNTIF(DATA!A:A, A43)</f>
        <v>1</v>
      </c>
      <c r="F43" s="15">
        <f>RANK(C43, C:C)</f>
        <v>34</v>
      </c>
      <c r="G43" s="17" t="str">
        <f t="shared" si="2"/>
        <v>No</v>
      </c>
    </row>
    <row r="44" spans="1:7" ht="13.5">
      <c r="A44" s="15" t="s">
        <v>65</v>
      </c>
      <c r="B44" s="15" t="s">
        <v>252</v>
      </c>
      <c r="C44" s="15">
        <f>SUMIFS(DATA!E:E, DATA!A:A, A44)</f>
        <v>650.62</v>
      </c>
      <c r="D44" s="15">
        <f>SUMIFS(DATA!J:J, DATA!A:A, A44)</f>
        <v>202.58</v>
      </c>
      <c r="E44" s="15">
        <f>COUNTIF(DATA!A:A, A44)</f>
        <v>1</v>
      </c>
      <c r="F44" s="15">
        <f>RANK(C44, C:C)</f>
        <v>50</v>
      </c>
      <c r="G44" s="17" t="str">
        <f t="shared" si="2"/>
        <v>No</v>
      </c>
    </row>
    <row r="45" spans="1:7" ht="13.5">
      <c r="A45" s="15" t="s">
        <v>66</v>
      </c>
      <c r="B45" s="15" t="s">
        <v>253</v>
      </c>
      <c r="C45" s="15">
        <f>SUMIFS(DATA!E:E, DATA!A:A, A45)</f>
        <v>1950.11</v>
      </c>
      <c r="D45" s="15">
        <f>SUMIFS(DATA!J:J, DATA!A:A, A45)</f>
        <v>608.88</v>
      </c>
      <c r="E45" s="15">
        <f>COUNTIF(DATA!A:A, A45)</f>
        <v>1</v>
      </c>
      <c r="F45" s="15">
        <f>RANK(C45, C:C)</f>
        <v>8</v>
      </c>
      <c r="G45" s="17" t="str">
        <f t="shared" si="2"/>
        <v>Yes</v>
      </c>
    </row>
    <row r="46" spans="1:7" ht="13.5">
      <c r="A46" s="15" t="s">
        <v>68</v>
      </c>
      <c r="B46" s="15" t="s">
        <v>254</v>
      </c>
      <c r="C46" s="15">
        <f>SUMIFS(DATA!E:E, DATA!A:A, A46)</f>
        <v>109.09</v>
      </c>
      <c r="D46" s="15">
        <f>SUMIFS(DATA!J:J, DATA!A:A, A46)</f>
        <v>23.35</v>
      </c>
      <c r="E46" s="15">
        <f>COUNTIF(DATA!A:A, A46)</f>
        <v>1</v>
      </c>
      <c r="F46" s="15">
        <f>RANK(C46, C:C)</f>
        <v>86</v>
      </c>
      <c r="G46" s="17" t="str">
        <f t="shared" si="2"/>
        <v>No</v>
      </c>
    </row>
    <row r="47" spans="1:7" ht="13.5">
      <c r="A47" s="15" t="s">
        <v>69</v>
      </c>
      <c r="B47" s="15" t="s">
        <v>255</v>
      </c>
      <c r="C47" s="15">
        <f>SUMIFS(DATA!E:E, DATA!A:A, A47)</f>
        <v>651.41999999999996</v>
      </c>
      <c r="D47" s="15">
        <f>SUMIFS(DATA!J:J, DATA!A:A, A47)</f>
        <v>110.37</v>
      </c>
      <c r="E47" s="15">
        <f>COUNTIF(DATA!A:A, A47)</f>
        <v>1</v>
      </c>
      <c r="F47" s="15">
        <f>RANK(C47, C:C)</f>
        <v>49</v>
      </c>
      <c r="G47" s="17" t="str">
        <f t="shared" si="2"/>
        <v>No</v>
      </c>
    </row>
    <row r="48" spans="1:7" ht="13.5">
      <c r="A48" s="15" t="s">
        <v>73</v>
      </c>
      <c r="B48" s="15" t="s">
        <v>256</v>
      </c>
      <c r="C48" s="15">
        <f>SUMIFS(DATA!E:E, DATA!A:A, A48)</f>
        <v>1748.43</v>
      </c>
      <c r="D48" s="15">
        <f>SUMIFS(DATA!J:J, DATA!A:A, A48)</f>
        <v>443.52</v>
      </c>
      <c r="E48" s="15">
        <f>COUNTIF(DATA!A:A, A48)</f>
        <v>1</v>
      </c>
      <c r="F48" s="15">
        <f>RANK(C48, C:C)</f>
        <v>13</v>
      </c>
      <c r="G48" s="17" t="str">
        <f t="shared" si="2"/>
        <v>No</v>
      </c>
    </row>
    <row r="49" spans="1:7" ht="13.5">
      <c r="A49" s="15" t="s">
        <v>77</v>
      </c>
      <c r="B49" s="15" t="s">
        <v>257</v>
      </c>
      <c r="C49" s="15">
        <f>SUMIFS(DATA!E:E, DATA!A:A, A49)</f>
        <v>636.26</v>
      </c>
      <c r="D49" s="15">
        <f>SUMIFS(DATA!J:J, DATA!A:A, A49)</f>
        <v>216.64</v>
      </c>
      <c r="E49" s="15">
        <f>COUNTIF(DATA!A:A, A49)</f>
        <v>1</v>
      </c>
      <c r="F49" s="15">
        <f>RANK(C49, C:C)</f>
        <v>51</v>
      </c>
      <c r="G49" s="17" t="str">
        <f t="shared" si="2"/>
        <v>No</v>
      </c>
    </row>
    <row r="50" spans="1:7" ht="13.5">
      <c r="A50" s="15" t="s">
        <v>79</v>
      </c>
      <c r="B50" s="15" t="s">
        <v>258</v>
      </c>
      <c r="C50" s="15">
        <f>SUMIFS(DATA!E:E, DATA!A:A, A50)</f>
        <v>979.41</v>
      </c>
      <c r="D50" s="15">
        <f>SUMIFS(DATA!J:J, DATA!A:A, A50)</f>
        <v>179.94</v>
      </c>
      <c r="E50" s="15">
        <f>COUNTIF(DATA!A:A, A50)</f>
        <v>1</v>
      </c>
      <c r="F50" s="15">
        <f>RANK(C50, C:C)</f>
        <v>33</v>
      </c>
      <c r="G50" s="17" t="str">
        <f t="shared" si="2"/>
        <v>No</v>
      </c>
    </row>
    <row r="51" spans="1:7" ht="13.5">
      <c r="A51" s="15" t="s">
        <v>80</v>
      </c>
      <c r="B51" s="15" t="s">
        <v>259</v>
      </c>
      <c r="C51" s="15">
        <f>SUMIFS(DATA!E:E, DATA!A:A, A51)</f>
        <v>1349.69</v>
      </c>
      <c r="D51" s="15">
        <f>SUMIFS(DATA!J:J, DATA!A:A, A51)</f>
        <v>353.45</v>
      </c>
      <c r="E51" s="15">
        <f>COUNTIF(DATA!A:A, A51)</f>
        <v>1</v>
      </c>
      <c r="F51" s="15">
        <f>RANK(C51, C:C)</f>
        <v>22</v>
      </c>
      <c r="G51" s="17" t="str">
        <f t="shared" si="2"/>
        <v>No</v>
      </c>
    </row>
    <row r="52" spans="1:7" ht="13.5">
      <c r="A52" s="15" t="s">
        <v>81</v>
      </c>
      <c r="B52" s="15" t="s">
        <v>260</v>
      </c>
      <c r="C52" s="15">
        <f>SUMIFS(DATA!E:E, DATA!A:A, A52)</f>
        <v>135.32</v>
      </c>
      <c r="D52" s="15">
        <f>SUMIFS(DATA!J:J, DATA!A:A, A52)</f>
        <v>42.22</v>
      </c>
      <c r="E52" s="15">
        <f>COUNTIF(DATA!A:A, A52)</f>
        <v>1</v>
      </c>
      <c r="F52" s="15">
        <f>RANK(C52, C:C)</f>
        <v>82</v>
      </c>
      <c r="G52" s="17" t="str">
        <f t="shared" si="2"/>
        <v>No</v>
      </c>
    </row>
    <row r="53" spans="1:7" ht="13.5">
      <c r="A53" s="15" t="s">
        <v>83</v>
      </c>
      <c r="B53" s="15" t="s">
        <v>261</v>
      </c>
      <c r="C53" s="15">
        <f>SUMIFS(DATA!E:E, DATA!A:A, A53)</f>
        <v>861.1</v>
      </c>
      <c r="D53" s="15">
        <f>SUMIFS(DATA!J:J, DATA!A:A, A53)</f>
        <v>286.44</v>
      </c>
      <c r="E53" s="15">
        <f>COUNTIF(DATA!A:A, A53)</f>
        <v>1</v>
      </c>
      <c r="F53" s="15">
        <f>RANK(C53, C:C)</f>
        <v>38</v>
      </c>
      <c r="G53" s="17" t="str">
        <f t="shared" si="2"/>
        <v>No</v>
      </c>
    </row>
    <row r="54" spans="1:7" ht="13.5">
      <c r="A54" s="15" t="s">
        <v>86</v>
      </c>
      <c r="B54" s="15" t="s">
        <v>262</v>
      </c>
      <c r="C54" s="15">
        <f>SUMIFS(DATA!E:E, DATA!A:A, A54)</f>
        <v>430.14</v>
      </c>
      <c r="D54" s="15">
        <f>SUMIFS(DATA!J:J, DATA!A:A, A54)</f>
        <v>122.44</v>
      </c>
      <c r="E54" s="15">
        <f>COUNTIF(DATA!A:A, A54)</f>
        <v>1</v>
      </c>
      <c r="F54" s="15">
        <f>RANK(C54, C:C)</f>
        <v>64</v>
      </c>
      <c r="G54" s="17" t="str">
        <f t="shared" si="2"/>
        <v>No</v>
      </c>
    </row>
    <row r="55" spans="1:7" ht="13.5">
      <c r="A55" s="15" t="s">
        <v>87</v>
      </c>
      <c r="B55" s="15" t="s">
        <v>263</v>
      </c>
      <c r="C55" s="15">
        <f>SUMIFS(DATA!E:E, DATA!A:A, A55)</f>
        <v>131.72999999999999</v>
      </c>
      <c r="D55" s="15">
        <f>SUMIFS(DATA!J:J, DATA!A:A, A55)</f>
        <v>36.880000000000003</v>
      </c>
      <c r="E55" s="15">
        <f>COUNTIF(DATA!A:A, A55)</f>
        <v>1</v>
      </c>
      <c r="F55" s="15">
        <f>RANK(C55, C:C)</f>
        <v>83</v>
      </c>
      <c r="G55" s="17" t="str">
        <f t="shared" si="2"/>
        <v>No</v>
      </c>
    </row>
    <row r="56" spans="1:7" ht="13.5">
      <c r="A56" s="15" t="s">
        <v>88</v>
      </c>
      <c r="B56" s="15" t="s">
        <v>264</v>
      </c>
      <c r="C56" s="15">
        <f>SUMIFS(DATA!E:E, DATA!A:A, A56)</f>
        <v>437.26</v>
      </c>
      <c r="D56" s="15">
        <f>SUMIFS(DATA!J:J, DATA!A:A, A56)</f>
        <v>148.84</v>
      </c>
      <c r="E56" s="15">
        <f>COUNTIF(DATA!A:A, A56)</f>
        <v>1</v>
      </c>
      <c r="F56" s="15">
        <f>RANK(C56, C:C)</f>
        <v>63</v>
      </c>
      <c r="G56" s="17" t="str">
        <f t="shared" si="2"/>
        <v>No</v>
      </c>
    </row>
    <row r="57" spans="1:7" ht="13.5">
      <c r="A57" s="15" t="s">
        <v>92</v>
      </c>
      <c r="B57" s="15" t="s">
        <v>265</v>
      </c>
      <c r="C57" s="15">
        <f>SUMIFS(DATA!E:E, DATA!A:A, A57)</f>
        <v>1026.57</v>
      </c>
      <c r="D57" s="15">
        <f>SUMIFS(DATA!J:J, DATA!A:A, A57)</f>
        <v>205.43</v>
      </c>
      <c r="E57" s="15">
        <f>COUNTIF(DATA!A:A, A57)</f>
        <v>1</v>
      </c>
      <c r="F57" s="15">
        <f>RANK(C57, C:C)</f>
        <v>32</v>
      </c>
      <c r="G57" s="17" t="str">
        <f t="shared" si="2"/>
        <v>No</v>
      </c>
    </row>
    <row r="58" spans="1:7" ht="13.5">
      <c r="A58" s="15" t="s">
        <v>93</v>
      </c>
      <c r="B58" s="15" t="s">
        <v>266</v>
      </c>
      <c r="C58" s="15">
        <f>SUMIFS(DATA!E:E, DATA!A:A, A58)</f>
        <v>460.01</v>
      </c>
      <c r="D58" s="15">
        <f>SUMIFS(DATA!J:J, DATA!A:A, A58)</f>
        <v>77.650000000000006</v>
      </c>
      <c r="E58" s="15">
        <f>COUNTIF(DATA!A:A, A58)</f>
        <v>1</v>
      </c>
      <c r="F58" s="15">
        <f>RANK(C58, C:C)</f>
        <v>60</v>
      </c>
      <c r="G58" s="17" t="str">
        <f t="shared" si="2"/>
        <v>No</v>
      </c>
    </row>
    <row r="59" spans="1:7" ht="13.5">
      <c r="A59" s="15" t="s">
        <v>97</v>
      </c>
      <c r="B59" s="15" t="s">
        <v>267</v>
      </c>
      <c r="C59" s="15">
        <f>SUMIFS(DATA!E:E, DATA!A:A, A59)</f>
        <v>156.18</v>
      </c>
      <c r="D59" s="15">
        <f>SUMIFS(DATA!J:J, DATA!A:A, A59)</f>
        <v>44.28</v>
      </c>
      <c r="E59" s="15">
        <f>COUNTIF(DATA!A:A, A59)</f>
        <v>1</v>
      </c>
      <c r="F59" s="15">
        <f>RANK(C59, C:C)</f>
        <v>78</v>
      </c>
      <c r="G59" s="17" t="str">
        <f t="shared" si="2"/>
        <v>No</v>
      </c>
    </row>
    <row r="60" spans="1:7" ht="13.5">
      <c r="A60" s="15" t="s">
        <v>102</v>
      </c>
      <c r="B60" s="15" t="s">
        <v>268</v>
      </c>
      <c r="C60" s="15">
        <f>SUMIFS(DATA!E:E, DATA!A:A, A60)</f>
        <v>1104.76</v>
      </c>
      <c r="D60" s="15">
        <f>SUMIFS(DATA!J:J, DATA!A:A, A60)</f>
        <v>402.71</v>
      </c>
      <c r="E60" s="15">
        <f>COUNTIF(DATA!A:A, A60)</f>
        <v>1</v>
      </c>
      <c r="F60" s="15">
        <f>RANK(C60, C:C)</f>
        <v>29</v>
      </c>
      <c r="G60" s="17" t="str">
        <f t="shared" si="2"/>
        <v>No</v>
      </c>
    </row>
    <row r="61" spans="1:7" ht="13.5">
      <c r="A61" s="15" t="s">
        <v>103</v>
      </c>
      <c r="B61" s="15" t="s">
        <v>269</v>
      </c>
      <c r="C61" s="15">
        <f>SUMIFS(DATA!E:E, DATA!A:A, A61)</f>
        <v>1822.06</v>
      </c>
      <c r="D61" s="15">
        <f>SUMIFS(DATA!J:J, DATA!A:A, A61)</f>
        <v>495.67</v>
      </c>
      <c r="E61" s="15">
        <f>COUNTIF(DATA!A:A, A61)</f>
        <v>1</v>
      </c>
      <c r="F61" s="15">
        <f>RANK(C61, C:C)</f>
        <v>11</v>
      </c>
      <c r="G61" s="17" t="str">
        <f t="shared" si="2"/>
        <v>No</v>
      </c>
    </row>
    <row r="62" spans="1:7" ht="13.5">
      <c r="A62" s="15" t="s">
        <v>104</v>
      </c>
      <c r="B62" s="15" t="s">
        <v>270</v>
      </c>
      <c r="C62" s="15">
        <f>SUMIFS(DATA!E:E, DATA!A:A, A62)</f>
        <v>75.900000000000006</v>
      </c>
      <c r="D62" s="15">
        <f>SUMIFS(DATA!J:J, DATA!A:A, A62)</f>
        <v>13.31</v>
      </c>
      <c r="E62" s="15">
        <f>COUNTIF(DATA!A:A, A62)</f>
        <v>1</v>
      </c>
      <c r="F62" s="15">
        <f>RANK(C62, C:C)</f>
        <v>87</v>
      </c>
      <c r="G62" s="17" t="str">
        <f t="shared" si="2"/>
        <v>No</v>
      </c>
    </row>
    <row r="63" spans="1:7" ht="13.5">
      <c r="A63" s="15" t="s">
        <v>107</v>
      </c>
      <c r="B63" s="15" t="s">
        <v>271</v>
      </c>
      <c r="C63" s="15">
        <f>SUMIFS(DATA!E:E, DATA!A:A, A63)</f>
        <v>441.51</v>
      </c>
      <c r="D63" s="15">
        <f>SUMIFS(DATA!J:J, DATA!A:A, A63)</f>
        <v>63.21</v>
      </c>
      <c r="E63" s="15">
        <f>COUNTIF(DATA!A:A, A63)</f>
        <v>1</v>
      </c>
      <c r="F63" s="15">
        <f>RANK(C63, C:C)</f>
        <v>62</v>
      </c>
      <c r="G63" s="17" t="str">
        <f t="shared" si="2"/>
        <v>No</v>
      </c>
    </row>
    <row r="64" spans="1:7" ht="13.5">
      <c r="A64" s="15" t="s">
        <v>112</v>
      </c>
      <c r="B64" s="15" t="s">
        <v>272</v>
      </c>
      <c r="C64" s="15">
        <f>SUMIFS(DATA!E:E, DATA!A:A, A64)</f>
        <v>2166.46</v>
      </c>
      <c r="D64" s="15">
        <f>SUMIFS(DATA!J:J, DATA!A:A, A64)</f>
        <v>559.22</v>
      </c>
      <c r="E64" s="15">
        <f>COUNTIF(DATA!A:A, A64)</f>
        <v>1</v>
      </c>
      <c r="F64" s="15">
        <f>RANK(C64, C:C)</f>
        <v>3</v>
      </c>
      <c r="G64" s="17" t="str">
        <f t="shared" si="2"/>
        <v>Yes</v>
      </c>
    </row>
    <row r="65" spans="1:7" ht="13.5">
      <c r="A65" s="15" t="s">
        <v>114</v>
      </c>
      <c r="B65" s="15" t="s">
        <v>273</v>
      </c>
      <c r="C65" s="15">
        <f>SUMIFS(DATA!E:E, DATA!A:A, A65)</f>
        <v>2054.88</v>
      </c>
      <c r="D65" s="15">
        <f>SUMIFS(DATA!J:J, DATA!A:A, A65)</f>
        <v>658.01</v>
      </c>
      <c r="E65" s="15">
        <f>COUNTIF(DATA!A:A, A65)</f>
        <v>1</v>
      </c>
      <c r="F65" s="15">
        <f>RANK(C65, C:C)</f>
        <v>5</v>
      </c>
      <c r="G65" s="17" t="str">
        <f t="shared" si="2"/>
        <v>Yes</v>
      </c>
    </row>
    <row r="66" spans="1:7" ht="13.5">
      <c r="A66" s="15" t="s">
        <v>115</v>
      </c>
      <c r="B66" s="15" t="s">
        <v>274</v>
      </c>
      <c r="C66" s="15">
        <f>SUMIFS(DATA!E:E, DATA!A:A, A66)</f>
        <v>180.47</v>
      </c>
      <c r="D66" s="15">
        <f>SUMIFS(DATA!J:J, DATA!A:A, A66)</f>
        <v>66.8</v>
      </c>
      <c r="E66" s="15">
        <f>COUNTIF(DATA!A:A, A66)</f>
        <v>1</v>
      </c>
      <c r="F66" s="15">
        <f>RANK(C66, C:C)</f>
        <v>75</v>
      </c>
      <c r="G66" s="17" t="str">
        <f t="shared" ref="G66:G89" si="3">IF(F66&lt;=10, "Yes", "No")</f>
        <v>No</v>
      </c>
    </row>
    <row r="67" spans="1:7" ht="13.5">
      <c r="A67" s="15" t="s">
        <v>117</v>
      </c>
      <c r="B67" s="15" t="s">
        <v>275</v>
      </c>
      <c r="C67" s="15">
        <f>SUMIFS(DATA!E:E, DATA!A:A, A67)</f>
        <v>840.89</v>
      </c>
      <c r="D67" s="15">
        <f>SUMIFS(DATA!J:J, DATA!A:A, A67)</f>
        <v>138.4</v>
      </c>
      <c r="E67" s="15">
        <f>COUNTIF(DATA!A:A, A67)</f>
        <v>1</v>
      </c>
      <c r="F67" s="15">
        <f>RANK(C67, C:C)</f>
        <v>39</v>
      </c>
      <c r="G67" s="17" t="str">
        <f t="shared" si="3"/>
        <v>No</v>
      </c>
    </row>
    <row r="68" spans="1:7" ht="13.5">
      <c r="A68" s="15" t="s">
        <v>123</v>
      </c>
      <c r="B68" s="15" t="s">
        <v>276</v>
      </c>
      <c r="C68" s="15">
        <f>SUMIFS(DATA!E:E, DATA!A:A, A68)</f>
        <v>477.73</v>
      </c>
      <c r="D68" s="15">
        <f>SUMIFS(DATA!J:J, DATA!A:A, A68)</f>
        <v>163.63999999999999</v>
      </c>
      <c r="E68" s="15">
        <f>COUNTIF(DATA!A:A, A68)</f>
        <v>1</v>
      </c>
      <c r="F68" s="15">
        <f>RANK(C68, C:C)</f>
        <v>59</v>
      </c>
      <c r="G68" s="17" t="str">
        <f t="shared" si="3"/>
        <v>No</v>
      </c>
    </row>
    <row r="69" spans="1:7" ht="13.5">
      <c r="A69" s="15" t="s">
        <v>125</v>
      </c>
      <c r="B69" s="15" t="s">
        <v>277</v>
      </c>
      <c r="C69" s="15">
        <f>SUMIFS(DATA!E:E, DATA!A:A, A69)</f>
        <v>773.49</v>
      </c>
      <c r="D69" s="15">
        <f>SUMIFS(DATA!J:J, DATA!A:A, A69)</f>
        <v>223.69</v>
      </c>
      <c r="E69" s="15">
        <f>COUNTIF(DATA!A:A, A69)</f>
        <v>1</v>
      </c>
      <c r="F69" s="15">
        <f>RANK(C69, C:C)</f>
        <v>43</v>
      </c>
      <c r="G69" s="17" t="str">
        <f t="shared" si="3"/>
        <v>No</v>
      </c>
    </row>
    <row r="70" spans="1:7" ht="13.5">
      <c r="A70" s="15" t="s">
        <v>130</v>
      </c>
      <c r="B70" s="15" t="s">
        <v>278</v>
      </c>
      <c r="C70" s="15">
        <f>SUMIFS(DATA!E:E, DATA!A:A, A70)</f>
        <v>151.26</v>
      </c>
      <c r="D70" s="15">
        <f>SUMIFS(DATA!J:J, DATA!A:A, A70)</f>
        <v>43.09</v>
      </c>
      <c r="E70" s="15">
        <f>COUNTIF(DATA!A:A, A70)</f>
        <v>1</v>
      </c>
      <c r="F70" s="15">
        <f>RANK(C70, C:C)</f>
        <v>79</v>
      </c>
      <c r="G70" s="17" t="str">
        <f t="shared" si="3"/>
        <v>No</v>
      </c>
    </row>
    <row r="71" spans="1:7" ht="13.5">
      <c r="A71" s="15" t="s">
        <v>131</v>
      </c>
      <c r="B71" s="15" t="s">
        <v>279</v>
      </c>
      <c r="C71" s="15">
        <f>SUMIFS(DATA!E:E, DATA!A:A, A71)</f>
        <v>1384.1</v>
      </c>
      <c r="D71" s="15">
        <f>SUMIFS(DATA!J:J, DATA!A:A, A71)</f>
        <v>440.03</v>
      </c>
      <c r="E71" s="15">
        <f>COUNTIF(DATA!A:A, A71)</f>
        <v>1</v>
      </c>
      <c r="F71" s="15">
        <f>RANK(C71, C:C)</f>
        <v>21</v>
      </c>
      <c r="G71" s="17" t="str">
        <f t="shared" si="3"/>
        <v>No</v>
      </c>
    </row>
    <row r="72" spans="1:7" ht="13.5">
      <c r="A72" s="15" t="s">
        <v>138</v>
      </c>
      <c r="B72" s="15" t="s">
        <v>280</v>
      </c>
      <c r="C72" s="15">
        <f>SUMIFS(DATA!E:E, DATA!A:A, A72)</f>
        <v>194.7</v>
      </c>
      <c r="D72" s="15">
        <f>SUMIFS(DATA!J:J, DATA!A:A, A72)</f>
        <v>45.54</v>
      </c>
      <c r="E72" s="15">
        <f>COUNTIF(DATA!A:A, A72)</f>
        <v>1</v>
      </c>
      <c r="F72" s="15">
        <f>RANK(C72, C:C)</f>
        <v>74</v>
      </c>
      <c r="G72" s="17" t="str">
        <f t="shared" si="3"/>
        <v>No</v>
      </c>
    </row>
    <row r="73" spans="1:7" ht="13.5">
      <c r="A73" s="15" t="s">
        <v>139</v>
      </c>
      <c r="B73" s="15" t="s">
        <v>281</v>
      </c>
      <c r="C73" s="15">
        <f>SUMIFS(DATA!E:E, DATA!A:A, A73)</f>
        <v>1282.75</v>
      </c>
      <c r="D73" s="15">
        <f>SUMIFS(DATA!J:J, DATA!A:A, A73)</f>
        <v>191.83</v>
      </c>
      <c r="E73" s="15">
        <f>COUNTIF(DATA!A:A, A73)</f>
        <v>1</v>
      </c>
      <c r="F73" s="15">
        <f>RANK(C73, C:C)</f>
        <v>25</v>
      </c>
      <c r="G73" s="17" t="str">
        <f t="shared" si="3"/>
        <v>No</v>
      </c>
    </row>
    <row r="74" spans="1:7" ht="13.5">
      <c r="A74" s="15" t="s">
        <v>140</v>
      </c>
      <c r="B74" s="15" t="s">
        <v>282</v>
      </c>
      <c r="C74" s="15">
        <f>SUMIFS(DATA!E:E, DATA!A:A, A74)</f>
        <v>393.39</v>
      </c>
      <c r="D74" s="15">
        <f>SUMIFS(DATA!J:J, DATA!A:A, A74)</f>
        <v>106.69</v>
      </c>
      <c r="E74" s="15">
        <f>COUNTIF(DATA!A:A, A74)</f>
        <v>1</v>
      </c>
      <c r="F74" s="15">
        <f>RANK(C74, C:C)</f>
        <v>67</v>
      </c>
      <c r="G74" s="17" t="str">
        <f t="shared" si="3"/>
        <v>No</v>
      </c>
    </row>
    <row r="75" spans="1:7" ht="13.5">
      <c r="A75" s="15" t="s">
        <v>143</v>
      </c>
      <c r="B75" s="15" t="s">
        <v>283</v>
      </c>
      <c r="C75" s="15">
        <f>SUMIFS(DATA!E:E, DATA!A:A, A75)</f>
        <v>487.63</v>
      </c>
      <c r="D75" s="15">
        <f>SUMIFS(DATA!J:J, DATA!A:A, A75)</f>
        <v>84.46</v>
      </c>
      <c r="E75" s="15">
        <f>COUNTIF(DATA!A:A, A75)</f>
        <v>1</v>
      </c>
      <c r="F75" s="15">
        <f>RANK(C75, C:C)</f>
        <v>57</v>
      </c>
      <c r="G75" s="17" t="str">
        <f t="shared" si="3"/>
        <v>No</v>
      </c>
    </row>
    <row r="76" spans="1:7" ht="13.5">
      <c r="A76" s="15" t="s">
        <v>144</v>
      </c>
      <c r="B76" s="15" t="s">
        <v>284</v>
      </c>
      <c r="C76" s="15">
        <f>SUMIFS(DATA!E:E, DATA!A:A, A76)</f>
        <v>1393.38</v>
      </c>
      <c r="D76" s="15">
        <f>SUMIFS(DATA!J:J, DATA!A:A, A76)</f>
        <v>152.16</v>
      </c>
      <c r="E76" s="15">
        <f>COUNTIF(DATA!A:A, A76)</f>
        <v>1</v>
      </c>
      <c r="F76" s="15">
        <f>RANK(C76, C:C)</f>
        <v>20</v>
      </c>
      <c r="G76" s="17" t="str">
        <f t="shared" si="3"/>
        <v>No</v>
      </c>
    </row>
    <row r="77" spans="1:7" ht="13.5">
      <c r="A77" s="15" t="s">
        <v>150</v>
      </c>
      <c r="B77" s="15" t="s">
        <v>285</v>
      </c>
      <c r="C77" s="15">
        <f>SUMIFS(DATA!E:E, DATA!A:A, A77)</f>
        <v>1529.49</v>
      </c>
      <c r="D77" s="15">
        <f>SUMIFS(DATA!J:J, DATA!A:A, A77)</f>
        <v>456.28</v>
      </c>
      <c r="E77" s="15">
        <f>COUNTIF(DATA!A:A, A77)</f>
        <v>1</v>
      </c>
      <c r="F77" s="15">
        <f>RANK(C77, C:C)</f>
        <v>17</v>
      </c>
      <c r="G77" s="17" t="str">
        <f t="shared" si="3"/>
        <v>No</v>
      </c>
    </row>
    <row r="78" spans="1:7" ht="13.5">
      <c r="A78" s="15" t="s">
        <v>151</v>
      </c>
      <c r="B78" s="15" t="s">
        <v>286</v>
      </c>
      <c r="C78" s="15">
        <f>SUMIFS(DATA!E:E, DATA!A:A, A78)</f>
        <v>456.17</v>
      </c>
      <c r="D78" s="15">
        <f>SUMIFS(DATA!J:J, DATA!A:A, A78)</f>
        <v>88.81</v>
      </c>
      <c r="E78" s="15">
        <f>COUNTIF(DATA!A:A, A78)</f>
        <v>1</v>
      </c>
      <c r="F78" s="15">
        <f>RANK(C78, C:C)</f>
        <v>61</v>
      </c>
      <c r="G78" s="17" t="str">
        <f t="shared" si="3"/>
        <v>No</v>
      </c>
    </row>
    <row r="79" spans="1:7" ht="13.5">
      <c r="A79" s="15" t="s">
        <v>152</v>
      </c>
      <c r="B79" s="15" t="s">
        <v>287</v>
      </c>
      <c r="C79" s="15">
        <f>SUMIFS(DATA!E:E, DATA!A:A, A79)</f>
        <v>1998.9</v>
      </c>
      <c r="D79" s="15">
        <f>SUMIFS(DATA!J:J, DATA!A:A, A79)</f>
        <v>269.13</v>
      </c>
      <c r="E79" s="15">
        <f>COUNTIF(DATA!A:A, A79)</f>
        <v>1</v>
      </c>
      <c r="F79" s="15">
        <f>RANK(C79, C:C)</f>
        <v>6</v>
      </c>
      <c r="G79" s="17" t="str">
        <f t="shared" si="3"/>
        <v>Yes</v>
      </c>
    </row>
    <row r="80" spans="1:7" ht="13.5">
      <c r="A80" s="15" t="s">
        <v>153</v>
      </c>
      <c r="B80" s="15" t="s">
        <v>288</v>
      </c>
      <c r="C80" s="15">
        <f>SUMIFS(DATA!E:E, DATA!A:A, A80)</f>
        <v>1944.36</v>
      </c>
      <c r="D80" s="15">
        <f>SUMIFS(DATA!J:J, DATA!A:A, A80)</f>
        <v>460.37</v>
      </c>
      <c r="E80" s="15">
        <f>COUNTIF(DATA!A:A, A80)</f>
        <v>1</v>
      </c>
      <c r="F80" s="15">
        <f>RANK(C80, C:C)</f>
        <v>10</v>
      </c>
      <c r="G80" s="17" t="str">
        <f t="shared" si="3"/>
        <v>Yes</v>
      </c>
    </row>
    <row r="81" spans="1:7" ht="13.5">
      <c r="A81" s="15" t="s">
        <v>155</v>
      </c>
      <c r="B81" s="15" t="s">
        <v>289</v>
      </c>
      <c r="C81" s="15">
        <f>SUMIFS(DATA!E:E, DATA!A:A, A81)</f>
        <v>137.91999999999999</v>
      </c>
      <c r="D81" s="15">
        <f>SUMIFS(DATA!J:J, DATA!A:A, A81)</f>
        <v>41.12</v>
      </c>
      <c r="E81" s="15">
        <f>COUNTIF(DATA!A:A, A81)</f>
        <v>1</v>
      </c>
      <c r="F81" s="15">
        <f>RANK(C81, C:C)</f>
        <v>81</v>
      </c>
      <c r="G81" s="17" t="str">
        <f t="shared" si="3"/>
        <v>No</v>
      </c>
    </row>
    <row r="82" spans="1:7" ht="13.5">
      <c r="A82" s="15" t="s">
        <v>160</v>
      </c>
      <c r="B82" s="15" t="s">
        <v>290</v>
      </c>
      <c r="C82" s="15">
        <f>SUMIFS(DATA!E:E, DATA!A:A, A82)</f>
        <v>1081.6500000000001</v>
      </c>
      <c r="D82" s="15">
        <f>SUMIFS(DATA!J:J, DATA!A:A, A82)</f>
        <v>325.17</v>
      </c>
      <c r="E82" s="15">
        <f>COUNTIF(DATA!A:A, A82)</f>
        <v>1</v>
      </c>
      <c r="F82" s="15">
        <f>RANK(C82, C:C)</f>
        <v>31</v>
      </c>
      <c r="G82" s="17" t="str">
        <f t="shared" si="3"/>
        <v>No</v>
      </c>
    </row>
    <row r="83" spans="1:7" ht="13.5">
      <c r="A83" s="15" t="s">
        <v>165</v>
      </c>
      <c r="B83" s="15" t="s">
        <v>291</v>
      </c>
      <c r="C83" s="15">
        <f>SUMIFS(DATA!E:E, DATA!A:A, A83)</f>
        <v>1209.22</v>
      </c>
      <c r="D83" s="15">
        <f>SUMIFS(DATA!J:J, DATA!A:A, A83)</f>
        <v>306.52</v>
      </c>
      <c r="E83" s="15">
        <f>COUNTIF(DATA!A:A, A83)</f>
        <v>1</v>
      </c>
      <c r="F83" s="15">
        <f>RANK(C83, C:C)</f>
        <v>27</v>
      </c>
      <c r="G83" s="17" t="str">
        <f t="shared" si="3"/>
        <v>No</v>
      </c>
    </row>
    <row r="84" spans="1:7" ht="13.5">
      <c r="A84" s="15" t="s">
        <v>170</v>
      </c>
      <c r="B84" s="15" t="s">
        <v>292</v>
      </c>
      <c r="C84" s="15">
        <f>SUMIFS(DATA!E:E, DATA!A:A, A84)</f>
        <v>1479.81</v>
      </c>
      <c r="D84" s="15">
        <f>SUMIFS(DATA!J:J, DATA!A:A, A84)</f>
        <v>373.85</v>
      </c>
      <c r="E84" s="15">
        <f>COUNTIF(DATA!A:A, A84)</f>
        <v>1</v>
      </c>
      <c r="F84" s="15">
        <f>RANK(C84, C:C)</f>
        <v>18</v>
      </c>
      <c r="G84" s="17" t="str">
        <f t="shared" si="3"/>
        <v>No</v>
      </c>
    </row>
    <row r="85" spans="1:7" ht="13.5">
      <c r="A85" s="15" t="s">
        <v>172</v>
      </c>
      <c r="B85" s="15" t="s">
        <v>293</v>
      </c>
      <c r="C85" s="15">
        <f>SUMIFS(DATA!E:E, DATA!A:A, A85)</f>
        <v>418.9</v>
      </c>
      <c r="D85" s="15">
        <f>SUMIFS(DATA!J:J, DATA!A:A, A85)</f>
        <v>90.75</v>
      </c>
      <c r="E85" s="15">
        <f>COUNTIF(DATA!A:A, A85)</f>
        <v>1</v>
      </c>
      <c r="F85" s="15">
        <f>RANK(C85, C:C)</f>
        <v>65</v>
      </c>
      <c r="G85" s="17" t="str">
        <f t="shared" si="3"/>
        <v>No</v>
      </c>
    </row>
    <row r="86" spans="1:7" ht="13.5">
      <c r="A86" s="15" t="s">
        <v>186</v>
      </c>
      <c r="B86" s="15" t="s">
        <v>294</v>
      </c>
      <c r="C86" s="15">
        <f>SUMIFS(DATA!E:E, DATA!A:A, A86)</f>
        <v>631.22</v>
      </c>
      <c r="D86" s="15">
        <f>SUMIFS(DATA!J:J, DATA!A:A, A86)</f>
        <v>217.12</v>
      </c>
      <c r="E86" s="15">
        <f>COUNTIF(DATA!A:A, A86)</f>
        <v>1</v>
      </c>
      <c r="F86" s="15">
        <f>RANK(C86, C:C)</f>
        <v>52</v>
      </c>
      <c r="G86" s="17" t="str">
        <f t="shared" si="3"/>
        <v>No</v>
      </c>
    </row>
    <row r="87" spans="1:7" ht="13.5">
      <c r="A87" s="15" t="s">
        <v>194</v>
      </c>
      <c r="B87" s="15" t="s">
        <v>295</v>
      </c>
      <c r="C87" s="15">
        <f>SUMIFS(DATA!E:E, DATA!A:A, A87)</f>
        <v>2141.0700000000002</v>
      </c>
      <c r="D87" s="15">
        <f>SUMIFS(DATA!J:J, DATA!A:A, A87)</f>
        <v>635.92999999999995</v>
      </c>
      <c r="E87" s="15">
        <f>COUNTIF(DATA!A:A, A87)</f>
        <v>1</v>
      </c>
      <c r="F87" s="15">
        <f>RANK(C87, C:C)</f>
        <v>4</v>
      </c>
      <c r="G87" s="17" t="str">
        <f t="shared" si="3"/>
        <v>Yes</v>
      </c>
    </row>
    <row r="88" spans="1:7" ht="13.5">
      <c r="A88" s="15" t="s">
        <v>199</v>
      </c>
      <c r="B88" s="15" t="s">
        <v>296</v>
      </c>
      <c r="C88" s="15">
        <f>SUMIFS(DATA!E:E, DATA!A:A, A88)</f>
        <v>682.83</v>
      </c>
      <c r="D88" s="15">
        <f>SUMIFS(DATA!J:J, DATA!A:A, A88)</f>
        <v>246.75</v>
      </c>
      <c r="E88" s="15">
        <f>COUNTIF(DATA!A:A, A88)</f>
        <v>1</v>
      </c>
      <c r="F88" s="15">
        <f>RANK(C88, C:C)</f>
        <v>47</v>
      </c>
      <c r="G88" s="17" t="str">
        <f t="shared" si="3"/>
        <v>No</v>
      </c>
    </row>
    <row r="89" spans="1:7" ht="13.5">
      <c r="A89" s="15" t="s">
        <v>208</v>
      </c>
      <c r="B89" s="15" t="s">
        <v>297</v>
      </c>
      <c r="C89" s="15">
        <f>SUMIFS(DATA!E:E, DATA!A:A, A89)</f>
        <v>1228.26</v>
      </c>
      <c r="D89" s="15">
        <f>SUMIFS(DATA!J:J, DATA!A:A, A89)</f>
        <v>399.4</v>
      </c>
      <c r="E89" s="15">
        <f>COUNTIF(DATA!A:A, A89)</f>
        <v>1</v>
      </c>
      <c r="F89" s="15">
        <f>RANK(C89, C:C)</f>
        <v>26</v>
      </c>
      <c r="G89" s="17" t="str">
        <f t="shared" si="3"/>
        <v>No</v>
      </c>
    </row>
  </sheetData>
  <conditionalFormatting sqref="C1:C1048576">
    <cfRule type="dataBar" priority="2">
      <dataBar>
        <cfvo type="min"/>
        <cfvo type="max"/>
        <color rgb="FF63C384"/>
      </dataBar>
      <extLst>
        <ext xmlns:x14="http://schemas.microsoft.com/office/spreadsheetml/2009/9/main" uri="{B025F937-C7B1-47D3-B67F-A62EFF666E3E}">
          <x14:id>{9D6BE3EE-1C95-4254-841C-9E909E75CF44}</x14:id>
        </ext>
      </extLst>
    </cfRule>
  </conditionalFormatting>
  <conditionalFormatting sqref="G1:G1048576">
    <cfRule type="cellIs" dxfId="14" priority="1" operator="equal">
      <formula>"yes"</formula>
    </cfRule>
  </conditionalFormatting>
  <pageMargins left="0.7" right="0.7" top="0.75" bottom="0.75" header="0.3" footer="0.3"/>
  <tableParts count="2">
    <tablePart r:id="rId1"/>
    <tablePart r:id="rId2"/>
  </tableParts>
  <extLst>
    <ext xmlns:x14="http://schemas.microsoft.com/office/spreadsheetml/2009/9/main" uri="{78C0D931-6437-407d-A8EE-F0AAD7539E65}">
      <x14:conditionalFormattings>
        <x14:conditionalFormatting xmlns:xm="http://schemas.microsoft.com/office/excel/2006/main">
          <x14:cfRule type="dataBar" id="{9D6BE3EE-1C95-4254-841C-9E909E75CF44}">
            <x14:dataBar minLength="0" maxLength="100" gradient="0">
              <x14:cfvo type="autoMin"/>
              <x14:cfvo type="autoMax"/>
              <x14:negativeFillColor rgb="FFFF0000"/>
              <x14:axisColor rgb="FF000000"/>
            </x14:dataBar>
          </x14:cfRule>
          <xm:sqref>C1:C1048576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142C4-E442-4CE5-9F4C-E5F04D2F936A}">
  <dimension ref="A2:D8"/>
  <sheetViews>
    <sheetView showGridLines="0" zoomScale="85" zoomScaleNormal="85" workbookViewId="0">
      <selection activeCell="K12" sqref="K12"/>
    </sheetView>
  </sheetViews>
  <sheetFormatPr defaultRowHeight="13.5"/>
  <cols>
    <col min="1" max="1" width="11" style="16" customWidth="1"/>
    <col min="2" max="2" width="14.25" style="15" customWidth="1"/>
    <col min="3" max="3" width="14.75" style="15" customWidth="1"/>
    <col min="4" max="4" width="24.75" style="15" customWidth="1"/>
    <col min="5" max="16384" width="8.6640625" style="15"/>
  </cols>
  <sheetData>
    <row r="2" spans="1:4" ht="14">
      <c r="A2" s="12" t="s">
        <v>8</v>
      </c>
      <c r="B2" s="11" t="s">
        <v>427</v>
      </c>
      <c r="C2" s="11" t="s">
        <v>428</v>
      </c>
      <c r="D2" s="11" t="s">
        <v>429</v>
      </c>
    </row>
    <row r="3" spans="1:4">
      <c r="A3" s="16">
        <v>46023</v>
      </c>
      <c r="B3" s="15">
        <f>SUMIFS(DATA!E:E, DATA!K:K, A3)</f>
        <v>37627.840000000011</v>
      </c>
      <c r="C3" s="15">
        <f>SUMIFS(DATA!J:J, DATA!K:K, A3)</f>
        <v>9727.0099999999984</v>
      </c>
      <c r="D3" s="30">
        <f>(B4-B3)/B3</f>
        <v>-0.2883925837890246</v>
      </c>
    </row>
    <row r="4" spans="1:4">
      <c r="A4" s="16">
        <v>46054</v>
      </c>
      <c r="B4" s="15">
        <f>SUMIFS(DATA!E:E, DATA!K:K, A4)</f>
        <v>26776.249999999996</v>
      </c>
      <c r="C4" s="15">
        <f>SUMIFS(DATA!J:J, DATA!K:K, A4)</f>
        <v>6625.670000000001</v>
      </c>
      <c r="D4" s="30">
        <f t="shared" ref="D4:D8" si="0">(B5-B4)/B4</f>
        <v>-0.16852994724802747</v>
      </c>
    </row>
    <row r="5" spans="1:4">
      <c r="A5" s="16">
        <v>46082</v>
      </c>
      <c r="B5" s="15">
        <f>SUMIFS(DATA!E:E, DATA!K:K, A5)</f>
        <v>22263.65</v>
      </c>
      <c r="C5" s="15">
        <f>SUMIFS(DATA!J:J, DATA!K:K, A5)</f>
        <v>5812.6499999999987</v>
      </c>
      <c r="D5" s="30">
        <f t="shared" si="0"/>
        <v>0.37821201824498646</v>
      </c>
    </row>
    <row r="6" spans="1:4">
      <c r="A6" s="16">
        <v>46113</v>
      </c>
      <c r="B6" s="15">
        <f>SUMIFS(DATA!E:E, DATA!K:K, A6)</f>
        <v>30684.029999999995</v>
      </c>
      <c r="C6" s="15">
        <f>SUMIFS(DATA!J:J, DATA!K:K, A6)</f>
        <v>7413.0399999999991</v>
      </c>
      <c r="D6" s="30">
        <f t="shared" si="0"/>
        <v>-0.19177239756316231</v>
      </c>
    </row>
    <row r="7" spans="1:4">
      <c r="A7" s="16">
        <v>46143</v>
      </c>
      <c r="B7" s="15">
        <f>SUMIFS(DATA!E:E, DATA!K:K, A7)</f>
        <v>24799.679999999997</v>
      </c>
      <c r="C7" s="15">
        <f>SUMIFS(DATA!J:J, DATA!K:K, A7)</f>
        <v>6380.2000000000007</v>
      </c>
      <c r="D7" s="30">
        <f t="shared" si="0"/>
        <v>0.36339743093459315</v>
      </c>
    </row>
    <row r="8" spans="1:4">
      <c r="A8" s="16">
        <v>46174</v>
      </c>
      <c r="B8" s="15">
        <f>SUMIFS(DATA!E:E, DATA!K:K, A8)</f>
        <v>33811.820000000007</v>
      </c>
      <c r="C8" s="15">
        <f>SUMIFS(DATA!J:J, DATA!K:K, A8)</f>
        <v>8429.619999999999</v>
      </c>
      <c r="D8" s="30">
        <f t="shared" si="0"/>
        <v>-1</v>
      </c>
    </row>
  </sheetData>
  <pageMargins left="0.7" right="0.7" top="0.75" bottom="0.75" header="0.3" footer="0.3"/>
  <drawing r:id="rId1"/>
  <tableParts count="1">
    <tablePart r:id="rId2"/>
  </tableParts>
  <extLst>
    <ext xmlns:x14="http://schemas.microsoft.com/office/spreadsheetml/2009/9/main" uri="{05C60535-1F16-4fd2-B633-F4F36F0B64E0}">
      <x14:sparklineGroups xmlns:xm="http://schemas.microsoft.com/office/excel/2006/main">
        <x14:sparklineGroup displayEmptyCellsAs="gap" xr2:uid="{660842DD-E3E9-4881-85D5-1D83709D213C}">
          <x14:colorSeries rgb="FF376092"/>
          <x14:colorNegative rgb="FFD00000"/>
          <x14:colorAxis rgb="FF000000"/>
          <x14:colorMarkers rgb="FFD00000"/>
          <x14:colorFirst rgb="FFD00000"/>
          <x14:colorLast rgb="FFD00000"/>
          <x14:colorHigh rgb="FFD00000"/>
          <x14:colorLow rgb="FFD00000"/>
          <x14:sparklines>
            <x14:sparkline>
              <xm:f>MonthlySales!B3</xm:f>
              <xm:sqref>E3</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19BED-877C-49A5-A9F8-C45AA36DF3AD}">
  <dimension ref="A3:G9"/>
  <sheetViews>
    <sheetView showGridLines="0" workbookViewId="0">
      <selection activeCell="J9" sqref="J9"/>
    </sheetView>
  </sheetViews>
  <sheetFormatPr defaultRowHeight="13.5"/>
  <cols>
    <col min="1" max="1" width="34.33203125" customWidth="1"/>
    <col min="2" max="2" width="15.25" customWidth="1"/>
    <col min="3" max="6" width="10.33203125" customWidth="1"/>
    <col min="7" max="7" width="11.83203125" customWidth="1"/>
  </cols>
  <sheetData>
    <row r="3" spans="1:7">
      <c r="A3" s="13" t="s">
        <v>431</v>
      </c>
      <c r="B3" s="13" t="s">
        <v>2</v>
      </c>
    </row>
    <row r="4" spans="1:7">
      <c r="A4" s="13" t="s">
        <v>483</v>
      </c>
      <c r="B4" t="s">
        <v>302</v>
      </c>
      <c r="C4" t="s">
        <v>301</v>
      </c>
      <c r="D4" t="s">
        <v>300</v>
      </c>
      <c r="E4" t="s">
        <v>298</v>
      </c>
      <c r="F4" t="s">
        <v>299</v>
      </c>
      <c r="G4" t="s">
        <v>430</v>
      </c>
    </row>
    <row r="5" spans="1:7">
      <c r="A5" s="14" t="s">
        <v>303</v>
      </c>
      <c r="B5" s="4">
        <v>18808.800000000003</v>
      </c>
      <c r="C5" s="4">
        <v>11773.11</v>
      </c>
      <c r="D5" s="4">
        <v>7922.61</v>
      </c>
      <c r="E5" s="4">
        <v>10421.83</v>
      </c>
      <c r="F5" s="4">
        <v>15002.630000000001</v>
      </c>
      <c r="G5" s="4">
        <v>63928.98000000001</v>
      </c>
    </row>
    <row r="6" spans="1:7">
      <c r="A6" s="14" t="s">
        <v>304</v>
      </c>
      <c r="B6" s="4">
        <v>2247.4</v>
      </c>
      <c r="C6" s="4">
        <v>4114.2300000000005</v>
      </c>
      <c r="D6" s="4">
        <v>3187.2299999999996</v>
      </c>
      <c r="E6" s="4">
        <v>3711.0899999999992</v>
      </c>
      <c r="F6" s="4">
        <v>6619.84</v>
      </c>
      <c r="G6" s="4">
        <v>19879.79</v>
      </c>
    </row>
    <row r="7" spans="1:7">
      <c r="A7" s="14" t="s">
        <v>306</v>
      </c>
      <c r="B7" s="4">
        <v>8483.5400000000009</v>
      </c>
      <c r="C7" s="4">
        <v>5953.99</v>
      </c>
      <c r="D7" s="4">
        <v>5613.81</v>
      </c>
      <c r="E7" s="4">
        <v>8785.27</v>
      </c>
      <c r="F7" s="4">
        <v>9298.2500000000018</v>
      </c>
      <c r="G7" s="4">
        <v>38134.86</v>
      </c>
    </row>
    <row r="8" spans="1:7">
      <c r="A8" s="14" t="s">
        <v>305</v>
      </c>
      <c r="B8" s="4">
        <v>7512.130000000001</v>
      </c>
      <c r="C8" s="4">
        <v>14688.599999999999</v>
      </c>
      <c r="D8" s="4">
        <v>7338.86</v>
      </c>
      <c r="E8" s="4">
        <v>14302.489999999998</v>
      </c>
      <c r="F8" s="4">
        <v>10177.56</v>
      </c>
      <c r="G8" s="4">
        <v>54019.64</v>
      </c>
    </row>
    <row r="9" spans="1:7">
      <c r="A9" s="14" t="s">
        <v>430</v>
      </c>
      <c r="B9" s="4">
        <v>37051.87000000001</v>
      </c>
      <c r="C9" s="4">
        <v>36529.93</v>
      </c>
      <c r="D9" s="4">
        <v>24062.510000000002</v>
      </c>
      <c r="E9" s="4">
        <v>37220.679999999993</v>
      </c>
      <c r="F9" s="4">
        <v>41098.28</v>
      </c>
      <c r="G9" s="4">
        <v>175963.27000000002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D4137-9BC1-43C5-8F9F-17DDECF3A21E}">
  <dimension ref="B1:F4"/>
  <sheetViews>
    <sheetView showGridLines="0" workbookViewId="0">
      <selection activeCell="I9" sqref="I9"/>
    </sheetView>
  </sheetViews>
  <sheetFormatPr defaultRowHeight="13.5"/>
  <cols>
    <col min="2" max="2" width="52.1640625" customWidth="1"/>
    <col min="3" max="3" width="11.6640625" customWidth="1"/>
    <col min="4" max="4" width="9.6640625" customWidth="1"/>
    <col min="5" max="5" width="24.25" customWidth="1"/>
    <col min="6" max="6" width="10.25" customWidth="1"/>
  </cols>
  <sheetData>
    <row r="1" spans="2:6" ht="19.5">
      <c r="B1" s="33" t="s">
        <v>487</v>
      </c>
    </row>
    <row r="2" spans="2:6">
      <c r="B2" s="34" t="s">
        <v>488</v>
      </c>
      <c r="C2" s="34"/>
      <c r="D2" s="34"/>
      <c r="E2" s="34"/>
      <c r="F2" s="34"/>
    </row>
    <row r="3" spans="2:6">
      <c r="B3" s="18" t="s">
        <v>444</v>
      </c>
      <c r="C3" s="21">
        <f>AVERAGE(DATA!G:G)</f>
        <v>9.7250000000000003E-2</v>
      </c>
      <c r="E3" s="18" t="s">
        <v>446</v>
      </c>
      <c r="F3" s="19">
        <v>0.1</v>
      </c>
    </row>
    <row r="4" spans="2:6">
      <c r="B4" s="18" t="s">
        <v>445</v>
      </c>
      <c r="C4" s="20">
        <f>SUM(DATA!E:E)</f>
        <v>175963.27000000008</v>
      </c>
      <c r="E4" s="18" t="s">
        <v>447</v>
      </c>
      <c r="F4" s="20">
        <f>(C4/(1-C3)) * (1-F3) * (AVERAGE(DATA!J:J)/AVERAGE(DATA!E:E))</f>
        <v>44252.972583771814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5CC6B-D01A-4C89-9380-9CA18AD83755}">
  <dimension ref="A1:F15"/>
  <sheetViews>
    <sheetView showGridLines="0" workbookViewId="0">
      <selection activeCell="H18" sqref="H18"/>
    </sheetView>
  </sheetViews>
  <sheetFormatPr defaultRowHeight="13.5"/>
  <cols>
    <col min="1" max="1" width="16.75" customWidth="1"/>
    <col min="2" max="2" width="10.5" customWidth="1"/>
    <col min="3" max="3" width="16.75" customWidth="1"/>
    <col min="4" max="4" width="10.5" customWidth="1"/>
    <col min="5" max="5" width="16.75" customWidth="1"/>
    <col min="6" max="6" width="10.5" customWidth="1"/>
  </cols>
  <sheetData>
    <row r="1" spans="1:6">
      <c r="A1" s="22"/>
      <c r="B1" s="22"/>
      <c r="C1" s="22"/>
      <c r="D1" s="22"/>
      <c r="E1" s="22"/>
      <c r="F1" s="22"/>
    </row>
    <row r="2" spans="1:6">
      <c r="A2" s="22" t="s">
        <v>425</v>
      </c>
      <c r="B2" s="22" t="s">
        <v>438</v>
      </c>
      <c r="C2" s="22" t="s">
        <v>439</v>
      </c>
      <c r="D2" s="22" t="s">
        <v>440</v>
      </c>
      <c r="E2" s="22" t="s">
        <v>441</v>
      </c>
      <c r="F2" s="22" t="s">
        <v>442</v>
      </c>
    </row>
    <row r="3" spans="1:6">
      <c r="A3" s="22" t="s">
        <v>448</v>
      </c>
      <c r="B3" s="29">
        <v>879.8163500000004</v>
      </c>
      <c r="C3" s="22" t="s">
        <v>448</v>
      </c>
      <c r="D3" s="29">
        <v>5.7350000000000003</v>
      </c>
      <c r="E3" s="22" t="s">
        <v>448</v>
      </c>
      <c r="F3" s="29">
        <v>9.7250000000000003E-2</v>
      </c>
    </row>
    <row r="4" spans="1:6">
      <c r="A4" s="22" t="s">
        <v>449</v>
      </c>
      <c r="B4" s="29">
        <v>41.580708853743509</v>
      </c>
      <c r="C4" s="22" t="s">
        <v>449</v>
      </c>
      <c r="D4" s="29">
        <v>0.20018552952487795</v>
      </c>
      <c r="E4" s="22" t="s">
        <v>449</v>
      </c>
      <c r="F4" s="29">
        <v>4.8494611937148898E-3</v>
      </c>
    </row>
    <row r="5" spans="1:6">
      <c r="A5" s="22" t="s">
        <v>450</v>
      </c>
      <c r="B5" s="29">
        <v>741.86</v>
      </c>
      <c r="C5" s="22" t="s">
        <v>450</v>
      </c>
      <c r="D5" s="29">
        <v>6</v>
      </c>
      <c r="E5" s="22" t="s">
        <v>450</v>
      </c>
      <c r="F5" s="29">
        <v>0.1</v>
      </c>
    </row>
    <row r="6" spans="1:6">
      <c r="A6" s="22" t="s">
        <v>451</v>
      </c>
      <c r="B6" s="29" t="e">
        <v>#N/A</v>
      </c>
      <c r="C6" s="22" t="s">
        <v>451</v>
      </c>
      <c r="D6" s="29">
        <v>8</v>
      </c>
      <c r="E6" s="22" t="s">
        <v>451</v>
      </c>
      <c r="F6" s="29">
        <v>0.1</v>
      </c>
    </row>
    <row r="7" spans="1:6">
      <c r="A7" s="22" t="s">
        <v>452</v>
      </c>
      <c r="B7" s="29">
        <v>588.04002394051099</v>
      </c>
      <c r="C7" s="22" t="s">
        <v>452</v>
      </c>
      <c r="D7" s="29">
        <v>2.8310509084492206</v>
      </c>
      <c r="E7" s="22" t="s">
        <v>452</v>
      </c>
      <c r="F7" s="29">
        <v>6.8581737903536166E-2</v>
      </c>
    </row>
    <row r="8" spans="1:6">
      <c r="A8" s="22" t="s">
        <v>453</v>
      </c>
      <c r="B8" s="29">
        <v>345791.06975595676</v>
      </c>
      <c r="C8" s="22" t="s">
        <v>453</v>
      </c>
      <c r="D8" s="29">
        <v>8.0148492462311562</v>
      </c>
      <c r="E8" s="22" t="s">
        <v>453</v>
      </c>
      <c r="F8" s="29">
        <v>4.703454773869329E-3</v>
      </c>
    </row>
    <row r="9" spans="1:6">
      <c r="A9" s="22" t="s">
        <v>454</v>
      </c>
      <c r="B9" s="29">
        <v>-0.6475467341351675</v>
      </c>
      <c r="C9" s="22" t="s">
        <v>454</v>
      </c>
      <c r="D9" s="29">
        <v>-1.2168786472134407</v>
      </c>
      <c r="E9" s="22" t="s">
        <v>454</v>
      </c>
      <c r="F9" s="29">
        <v>-1.2068500570440148</v>
      </c>
    </row>
    <row r="10" spans="1:6">
      <c r="A10" s="22" t="s">
        <v>455</v>
      </c>
      <c r="B10" s="29">
        <v>0.59792482554947879</v>
      </c>
      <c r="C10" s="22" t="s">
        <v>455</v>
      </c>
      <c r="D10" s="29">
        <v>-0.16359033576056578</v>
      </c>
      <c r="E10" s="22" t="s">
        <v>455</v>
      </c>
      <c r="F10" s="29">
        <v>5.5241184174058258E-3</v>
      </c>
    </row>
    <row r="11" spans="1:6">
      <c r="A11" s="22" t="s">
        <v>456</v>
      </c>
      <c r="B11" s="29">
        <v>2231.69</v>
      </c>
      <c r="C11" s="22" t="s">
        <v>456</v>
      </c>
      <c r="D11" s="29">
        <v>9</v>
      </c>
      <c r="E11" s="22" t="s">
        <v>456</v>
      </c>
      <c r="F11" s="29">
        <v>0.2</v>
      </c>
    </row>
    <row r="12" spans="1:6">
      <c r="A12" s="22" t="s">
        <v>457</v>
      </c>
      <c r="B12" s="29">
        <v>68.64</v>
      </c>
      <c r="C12" s="22" t="s">
        <v>457</v>
      </c>
      <c r="D12" s="29">
        <v>1</v>
      </c>
      <c r="E12" s="22" t="s">
        <v>457</v>
      </c>
      <c r="F12" s="29">
        <v>0</v>
      </c>
    </row>
    <row r="13" spans="1:6">
      <c r="A13" s="22" t="s">
        <v>458</v>
      </c>
      <c r="B13" s="29">
        <v>2300.33</v>
      </c>
      <c r="C13" s="22" t="s">
        <v>458</v>
      </c>
      <c r="D13" s="29">
        <v>10</v>
      </c>
      <c r="E13" s="22" t="s">
        <v>458</v>
      </c>
      <c r="F13" s="29">
        <v>0.2</v>
      </c>
    </row>
    <row r="14" spans="1:6">
      <c r="A14" s="22" t="s">
        <v>459</v>
      </c>
      <c r="B14" s="29">
        <v>175963.27000000008</v>
      </c>
      <c r="C14" s="22" t="s">
        <v>459</v>
      </c>
      <c r="D14" s="29">
        <v>1147</v>
      </c>
      <c r="E14" s="22" t="s">
        <v>459</v>
      </c>
      <c r="F14" s="29">
        <v>19.45</v>
      </c>
    </row>
    <row r="15" spans="1:6">
      <c r="A15" s="22" t="s">
        <v>460</v>
      </c>
      <c r="B15" s="29">
        <v>200</v>
      </c>
      <c r="C15" s="22" t="s">
        <v>460</v>
      </c>
      <c r="D15" s="29">
        <v>200</v>
      </c>
      <c r="E15" s="22" t="s">
        <v>460</v>
      </c>
      <c r="F15" s="29">
        <v>200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AB83A-96F2-437A-8948-6BDFE9C5CD6C}">
  <dimension ref="A3:I18"/>
  <sheetViews>
    <sheetView showGridLines="0" workbookViewId="0">
      <selection activeCell="I9" sqref="I9"/>
    </sheetView>
  </sheetViews>
  <sheetFormatPr defaultRowHeight="13.5"/>
  <cols>
    <col min="1" max="1" width="19.25" customWidth="1"/>
    <col min="2" max="2" width="16" customWidth="1"/>
    <col min="3" max="3" width="18.1640625" customWidth="1"/>
    <col min="4" max="4" width="12.33203125" customWidth="1"/>
    <col min="5" max="5" width="11.9140625" customWidth="1"/>
    <col min="6" max="6" width="14.9140625" customWidth="1"/>
    <col min="7" max="7" width="15.1640625" customWidth="1"/>
    <col min="8" max="8" width="16.4140625" customWidth="1"/>
    <col min="9" max="9" width="16.58203125" customWidth="1"/>
  </cols>
  <sheetData>
    <row r="3" spans="1:9">
      <c r="A3" s="24" t="s">
        <v>461</v>
      </c>
      <c r="B3" s="24" t="s">
        <v>425</v>
      </c>
    </row>
    <row r="4" spans="1:9">
      <c r="A4" s="22" t="s">
        <v>462</v>
      </c>
      <c r="B4" s="22">
        <v>0.91337617741191612</v>
      </c>
    </row>
    <row r="5" spans="1:9">
      <c r="A5" s="22" t="s">
        <v>463</v>
      </c>
      <c r="B5" s="22">
        <v>0.83425604146360399</v>
      </c>
    </row>
    <row r="6" spans="1:9">
      <c r="A6" s="22" t="s">
        <v>464</v>
      </c>
      <c r="B6" s="22">
        <v>0.83341895076392514</v>
      </c>
    </row>
    <row r="7" spans="1:9">
      <c r="A7" s="22" t="s">
        <v>449</v>
      </c>
      <c r="B7" s="22">
        <v>67.466402984798208</v>
      </c>
    </row>
    <row r="8" spans="1:9">
      <c r="A8" s="22" t="s">
        <v>465</v>
      </c>
      <c r="B8" s="22">
        <v>200</v>
      </c>
    </row>
    <row r="10" spans="1:9" ht="14" thickBot="1">
      <c r="A10" t="s">
        <v>466</v>
      </c>
      <c r="B10" t="s">
        <v>425</v>
      </c>
      <c r="C10" t="s">
        <v>438</v>
      </c>
      <c r="D10" t="s">
        <v>439</v>
      </c>
      <c r="E10" t="s">
        <v>440</v>
      </c>
      <c r="F10" t="s">
        <v>441</v>
      </c>
    </row>
    <row r="11" spans="1:9">
      <c r="A11" s="23"/>
      <c r="B11" s="23" t="s">
        <v>470</v>
      </c>
      <c r="C11" s="23" t="s">
        <v>471</v>
      </c>
      <c r="D11" s="23" t="s">
        <v>472</v>
      </c>
      <c r="E11" s="23" t="s">
        <v>473</v>
      </c>
      <c r="F11" s="23" t="s">
        <v>474</v>
      </c>
    </row>
    <row r="12" spans="1:9">
      <c r="A12" s="22" t="s">
        <v>467</v>
      </c>
      <c r="B12" s="22">
        <v>1</v>
      </c>
      <c r="C12" s="22">
        <v>4536301.9596414734</v>
      </c>
      <c r="D12" s="22">
        <v>4536301.9596414734</v>
      </c>
      <c r="E12" s="22">
        <v>996.613678522231</v>
      </c>
      <c r="F12" s="22">
        <v>3.2833114323198442E-79</v>
      </c>
    </row>
    <row r="13" spans="1:9">
      <c r="A13" s="22" t="s">
        <v>468</v>
      </c>
      <c r="B13" s="22">
        <v>198</v>
      </c>
      <c r="C13" s="22">
        <v>901239.67527802335</v>
      </c>
      <c r="D13" s="22">
        <v>4551.7155317071883</v>
      </c>
      <c r="E13" s="22"/>
      <c r="F13" s="22"/>
    </row>
    <row r="14" spans="1:9">
      <c r="A14" s="22" t="s">
        <v>443</v>
      </c>
      <c r="B14" s="22">
        <v>199</v>
      </c>
      <c r="C14" s="22">
        <v>5437541.6349194963</v>
      </c>
      <c r="D14" s="22"/>
      <c r="E14" s="22"/>
      <c r="F14" s="22"/>
    </row>
    <row r="16" spans="1:9">
      <c r="A16" s="25" t="s">
        <v>425</v>
      </c>
      <c r="B16" s="25" t="s">
        <v>475</v>
      </c>
      <c r="C16" s="25" t="s">
        <v>449</v>
      </c>
      <c r="D16" s="25" t="s">
        <v>476</v>
      </c>
      <c r="E16" s="25" t="s">
        <v>477</v>
      </c>
      <c r="F16" s="25" t="s">
        <v>478</v>
      </c>
      <c r="G16" s="25" t="s">
        <v>479</v>
      </c>
      <c r="H16" s="25" t="s">
        <v>480</v>
      </c>
      <c r="I16" s="25" t="s">
        <v>481</v>
      </c>
    </row>
    <row r="17" spans="1:9">
      <c r="A17" s="22" t="s">
        <v>469</v>
      </c>
      <c r="B17" s="22">
        <v>-3.9555912821036259</v>
      </c>
      <c r="C17" s="22">
        <v>8.6000705582911205</v>
      </c>
      <c r="D17" s="22">
        <v>-0.45994870103596253</v>
      </c>
      <c r="E17" s="22">
        <v>0.64605770288854847</v>
      </c>
      <c r="F17" s="22">
        <v>-20.915080733679165</v>
      </c>
      <c r="G17" s="22">
        <v>13.003898169471913</v>
      </c>
      <c r="H17" s="22">
        <v>-20.915080733679165</v>
      </c>
      <c r="I17" s="22">
        <v>13.003898169471913</v>
      </c>
    </row>
    <row r="18" spans="1:9">
      <c r="A18" s="22" t="s">
        <v>482</v>
      </c>
      <c r="B18" s="22">
        <v>0.25675419794381354</v>
      </c>
      <c r="C18" s="22">
        <v>8.1330629036026284E-3</v>
      </c>
      <c r="D18" s="22">
        <v>31.569188752995071</v>
      </c>
      <c r="E18" s="22">
        <v>3.2833114323198442E-79</v>
      </c>
      <c r="F18" s="22">
        <v>0.24071565574956705</v>
      </c>
      <c r="G18" s="22">
        <v>0.27279274013806004</v>
      </c>
      <c r="H18" s="22">
        <v>0.24071565574956705</v>
      </c>
      <c r="I18" s="22">
        <v>0.27279274013806004</v>
      </c>
    </row>
  </sheetData>
  <pageMargins left="0.7" right="0.7" top="0.75" bottom="0.75" header="0.3" footer="0.3"/>
  <tableParts count="3">
    <tablePart r:id="rId1"/>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1"/>
  <sheetViews>
    <sheetView showGridLines="0" tabSelected="1" topLeftCell="B1" workbookViewId="0">
      <pane ySplit="1" topLeftCell="A2" activePane="bottomLeft" state="frozen"/>
      <selection pane="bottomLeft" activeCell="L2" sqref="L2"/>
    </sheetView>
  </sheetViews>
  <sheetFormatPr defaultRowHeight="14.5"/>
  <cols>
    <col min="1" max="1" width="16.33203125" style="6" customWidth="1"/>
    <col min="2" max="2" width="19.5" style="6" customWidth="1"/>
    <col min="3" max="3" width="10.9140625" style="6" customWidth="1"/>
    <col min="4" max="4" width="20.5" style="6" customWidth="1"/>
    <col min="5" max="5" width="9.5" style="7" customWidth="1"/>
    <col min="6" max="6" width="12.6640625" style="6" customWidth="1"/>
    <col min="7" max="7" width="12.6640625" style="8" customWidth="1"/>
    <col min="8" max="8" width="15.25" style="9" customWidth="1"/>
    <col min="9" max="9" width="11" style="6" customWidth="1"/>
    <col min="10" max="10" width="10" style="6" customWidth="1"/>
    <col min="11" max="11" width="12.75" style="9" customWidth="1"/>
    <col min="12" max="12" width="15.1640625" style="6" customWidth="1"/>
    <col min="13" max="16384" width="8.6640625" style="6"/>
  </cols>
  <sheetData>
    <row r="1" spans="1:12" ht="14">
      <c r="A1" s="1" t="s">
        <v>0</v>
      </c>
      <c r="B1" s="1" t="s">
        <v>1</v>
      </c>
      <c r="C1" s="1" t="s">
        <v>2</v>
      </c>
      <c r="D1" s="1" t="s">
        <v>3</v>
      </c>
      <c r="E1" s="3" t="s">
        <v>4</v>
      </c>
      <c r="F1" s="1" t="s">
        <v>5</v>
      </c>
      <c r="G1" s="5" t="s">
        <v>6</v>
      </c>
      <c r="H1" s="2" t="s">
        <v>7</v>
      </c>
      <c r="I1" s="1" t="s">
        <v>8</v>
      </c>
      <c r="J1" s="1" t="s">
        <v>9</v>
      </c>
      <c r="K1" s="2" t="s">
        <v>426</v>
      </c>
      <c r="L1" s="1" t="s">
        <v>484</v>
      </c>
    </row>
    <row r="2" spans="1:12" ht="13.5">
      <c r="A2" s="6" t="s">
        <v>10</v>
      </c>
      <c r="B2" s="6" t="s">
        <v>210</v>
      </c>
      <c r="C2" s="6" t="s">
        <v>298</v>
      </c>
      <c r="D2" s="6" t="s">
        <v>303</v>
      </c>
      <c r="E2" s="7">
        <v>621.5</v>
      </c>
      <c r="F2" s="6">
        <v>3</v>
      </c>
      <c r="G2" s="8">
        <v>0.15</v>
      </c>
      <c r="H2" s="9" t="s">
        <v>307</v>
      </c>
      <c r="I2" s="6">
        <v>2</v>
      </c>
      <c r="J2" s="6">
        <v>157.49</v>
      </c>
      <c r="K2" s="9">
        <f t="shared" ref="K2:K33" si="0">EOMONTH(H2, -1) + 1</f>
        <v>46054</v>
      </c>
      <c r="L2" s="31">
        <f t="shared" ref="L2:L33" ca="1" si="1">NOW()</f>
        <v>46278.541162037036</v>
      </c>
    </row>
    <row r="3" spans="1:12" ht="13.5">
      <c r="A3" s="6" t="s">
        <v>11</v>
      </c>
      <c r="B3" s="6" t="s">
        <v>211</v>
      </c>
      <c r="C3" s="6" t="s">
        <v>298</v>
      </c>
      <c r="D3" s="6" t="s">
        <v>304</v>
      </c>
      <c r="E3" s="7">
        <v>348.85</v>
      </c>
      <c r="F3" s="6">
        <v>4</v>
      </c>
      <c r="G3" s="8">
        <v>0</v>
      </c>
      <c r="H3" s="9" t="s">
        <v>308</v>
      </c>
      <c r="I3" s="6">
        <v>1</v>
      </c>
      <c r="J3" s="6">
        <v>75.64</v>
      </c>
      <c r="K3" s="9">
        <f t="shared" si="0"/>
        <v>46023</v>
      </c>
      <c r="L3" s="32">
        <f t="shared" ca="1" si="1"/>
        <v>46278.541162037036</v>
      </c>
    </row>
    <row r="4" spans="1:12" ht="13.5">
      <c r="A4" s="6" t="s">
        <v>12</v>
      </c>
      <c r="B4" s="6" t="s">
        <v>212</v>
      </c>
      <c r="C4" s="6" t="s">
        <v>298</v>
      </c>
      <c r="D4" s="6" t="s">
        <v>303</v>
      </c>
      <c r="E4" s="7">
        <v>706.32</v>
      </c>
      <c r="F4" s="6">
        <v>3</v>
      </c>
      <c r="G4" s="8">
        <v>0.1</v>
      </c>
      <c r="H4" s="9" t="s">
        <v>309</v>
      </c>
      <c r="I4" s="6">
        <v>5</v>
      </c>
      <c r="J4" s="6">
        <v>128.78</v>
      </c>
      <c r="K4" s="9">
        <f t="shared" si="0"/>
        <v>46143</v>
      </c>
      <c r="L4" s="32">
        <f t="shared" ca="1" si="1"/>
        <v>46278.541162037036</v>
      </c>
    </row>
    <row r="5" spans="1:12" ht="13.5">
      <c r="A5" s="6" t="s">
        <v>13</v>
      </c>
      <c r="B5" s="6" t="s">
        <v>213</v>
      </c>
      <c r="C5" s="6" t="s">
        <v>298</v>
      </c>
      <c r="D5" s="6" t="s">
        <v>305</v>
      </c>
      <c r="E5" s="7">
        <v>1468.41</v>
      </c>
      <c r="F5" s="6">
        <v>9</v>
      </c>
      <c r="G5" s="8">
        <v>0.2</v>
      </c>
      <c r="H5" s="9" t="s">
        <v>310</v>
      </c>
      <c r="I5" s="6">
        <v>2</v>
      </c>
      <c r="J5" s="6">
        <v>410.73</v>
      </c>
      <c r="K5" s="9">
        <f t="shared" si="0"/>
        <v>46054</v>
      </c>
      <c r="L5" s="32">
        <f t="shared" ca="1" si="1"/>
        <v>46278.541162037036</v>
      </c>
    </row>
    <row r="6" spans="1:12" ht="13.5">
      <c r="A6" s="6" t="s">
        <v>14</v>
      </c>
      <c r="B6" s="6" t="s">
        <v>214</v>
      </c>
      <c r="C6" s="6" t="s">
        <v>299</v>
      </c>
      <c r="D6" s="6" t="s">
        <v>304</v>
      </c>
      <c r="E6" s="7">
        <v>126.64</v>
      </c>
      <c r="F6" s="6">
        <v>2</v>
      </c>
      <c r="G6" s="8">
        <v>0.15</v>
      </c>
      <c r="H6" s="9" t="s">
        <v>311</v>
      </c>
      <c r="I6" s="6">
        <v>5</v>
      </c>
      <c r="J6" s="6">
        <v>31.19</v>
      </c>
      <c r="K6" s="9">
        <f t="shared" si="0"/>
        <v>46143</v>
      </c>
      <c r="L6" s="32">
        <f t="shared" ca="1" si="1"/>
        <v>46278.541162037036</v>
      </c>
    </row>
    <row r="7" spans="1:12" ht="13.5">
      <c r="A7" s="6" t="s">
        <v>15</v>
      </c>
      <c r="B7" s="6" t="s">
        <v>215</v>
      </c>
      <c r="C7" s="6" t="s">
        <v>300</v>
      </c>
      <c r="D7" s="6" t="s">
        <v>304</v>
      </c>
      <c r="E7" s="7">
        <v>201.14</v>
      </c>
      <c r="F7" s="6">
        <v>3</v>
      </c>
      <c r="G7" s="8">
        <v>0.1</v>
      </c>
      <c r="H7" s="9" t="s">
        <v>312</v>
      </c>
      <c r="I7" s="6">
        <v>2</v>
      </c>
      <c r="J7" s="6">
        <v>30.54</v>
      </c>
      <c r="K7" s="9">
        <f t="shared" si="0"/>
        <v>46054</v>
      </c>
      <c r="L7" s="32">
        <f t="shared" ca="1" si="1"/>
        <v>46278.541162037036</v>
      </c>
    </row>
    <row r="8" spans="1:12" ht="13.5">
      <c r="A8" s="6" t="s">
        <v>16</v>
      </c>
      <c r="B8" s="6" t="s">
        <v>216</v>
      </c>
      <c r="C8" s="6" t="s">
        <v>298</v>
      </c>
      <c r="D8" s="6" t="s">
        <v>306</v>
      </c>
      <c r="E8" s="7">
        <v>116.23</v>
      </c>
      <c r="F8" s="6">
        <v>1</v>
      </c>
      <c r="G8" s="8">
        <v>0.15</v>
      </c>
      <c r="H8" s="9" t="s">
        <v>313</v>
      </c>
      <c r="I8" s="6">
        <v>3</v>
      </c>
      <c r="J8" s="6">
        <v>16.89</v>
      </c>
      <c r="K8" s="9">
        <f t="shared" si="0"/>
        <v>46082</v>
      </c>
      <c r="L8" s="32">
        <f t="shared" ca="1" si="1"/>
        <v>46278.541162037036</v>
      </c>
    </row>
    <row r="9" spans="1:12" ht="13.5">
      <c r="A9" s="6" t="s">
        <v>17</v>
      </c>
      <c r="B9" s="6" t="s">
        <v>217</v>
      </c>
      <c r="C9" s="6" t="s">
        <v>301</v>
      </c>
      <c r="D9" s="6" t="s">
        <v>304</v>
      </c>
      <c r="E9" s="7">
        <v>480.81</v>
      </c>
      <c r="F9" s="6">
        <v>7</v>
      </c>
      <c r="G9" s="8">
        <v>0.2</v>
      </c>
      <c r="H9" s="9" t="s">
        <v>314</v>
      </c>
      <c r="I9" s="6">
        <v>3</v>
      </c>
      <c r="J9" s="6">
        <v>111.88</v>
      </c>
      <c r="K9" s="10">
        <f t="shared" si="0"/>
        <v>46082</v>
      </c>
      <c r="L9" s="32">
        <f t="shared" ca="1" si="1"/>
        <v>46278.541162037036</v>
      </c>
    </row>
    <row r="10" spans="1:12" ht="13.5">
      <c r="A10" s="6" t="s">
        <v>18</v>
      </c>
      <c r="B10" s="6" t="s">
        <v>218</v>
      </c>
      <c r="C10" s="6" t="s">
        <v>299</v>
      </c>
      <c r="D10" s="6" t="s">
        <v>305</v>
      </c>
      <c r="E10" s="7">
        <v>1632.36</v>
      </c>
      <c r="F10" s="6">
        <v>8</v>
      </c>
      <c r="G10" s="8">
        <v>0</v>
      </c>
      <c r="H10" s="9" t="s">
        <v>315</v>
      </c>
      <c r="I10" s="6">
        <v>2</v>
      </c>
      <c r="J10" s="6">
        <v>328.12</v>
      </c>
      <c r="K10" s="9">
        <f t="shared" si="0"/>
        <v>46054</v>
      </c>
      <c r="L10" s="32">
        <f t="shared" ca="1" si="1"/>
        <v>46278.541162037036</v>
      </c>
    </row>
    <row r="11" spans="1:12" ht="13.5">
      <c r="A11" s="6" t="s">
        <v>19</v>
      </c>
      <c r="B11" s="6" t="s">
        <v>219</v>
      </c>
      <c r="C11" s="6" t="s">
        <v>298</v>
      </c>
      <c r="D11" s="6" t="s">
        <v>304</v>
      </c>
      <c r="E11" s="7">
        <v>666.63</v>
      </c>
      <c r="F11" s="6">
        <v>10</v>
      </c>
      <c r="G11" s="8">
        <v>0.2</v>
      </c>
      <c r="H11" s="9" t="s">
        <v>316</v>
      </c>
      <c r="I11" s="6">
        <v>6</v>
      </c>
      <c r="J11" s="6">
        <v>88.1</v>
      </c>
      <c r="K11" s="9">
        <f t="shared" si="0"/>
        <v>46174</v>
      </c>
      <c r="L11" s="32">
        <f t="shared" ca="1" si="1"/>
        <v>46278.541162037036</v>
      </c>
    </row>
    <row r="12" spans="1:12" ht="13.5">
      <c r="A12" s="6" t="s">
        <v>20</v>
      </c>
      <c r="B12" s="6" t="s">
        <v>220</v>
      </c>
      <c r="C12" s="6" t="s">
        <v>301</v>
      </c>
      <c r="D12" s="6" t="s">
        <v>303</v>
      </c>
      <c r="E12" s="7">
        <v>1808.23</v>
      </c>
      <c r="F12" s="6">
        <v>8</v>
      </c>
      <c r="G12" s="8">
        <v>0</v>
      </c>
      <c r="H12" s="9" t="s">
        <v>317</v>
      </c>
      <c r="I12" s="6">
        <v>1</v>
      </c>
      <c r="J12" s="6">
        <v>560.09</v>
      </c>
      <c r="K12" s="9">
        <f t="shared" si="0"/>
        <v>46023</v>
      </c>
      <c r="L12" s="32">
        <f t="shared" ca="1" si="1"/>
        <v>46278.541162037036</v>
      </c>
    </row>
    <row r="13" spans="1:12" ht="13.5">
      <c r="A13" s="6" t="s">
        <v>21</v>
      </c>
      <c r="B13" s="6" t="s">
        <v>221</v>
      </c>
      <c r="C13" s="6" t="s">
        <v>298</v>
      </c>
      <c r="D13" s="6" t="s">
        <v>304</v>
      </c>
      <c r="E13" s="7">
        <v>415.71</v>
      </c>
      <c r="F13" s="6">
        <v>5</v>
      </c>
      <c r="G13" s="8">
        <v>0.05</v>
      </c>
      <c r="H13" s="9" t="s">
        <v>318</v>
      </c>
      <c r="I13" s="6">
        <v>3</v>
      </c>
      <c r="J13" s="6">
        <v>130.27000000000001</v>
      </c>
      <c r="K13" s="9">
        <f t="shared" si="0"/>
        <v>46082</v>
      </c>
      <c r="L13" s="32">
        <f t="shared" ca="1" si="1"/>
        <v>46278.541162037036</v>
      </c>
    </row>
    <row r="14" spans="1:12" ht="13.5">
      <c r="A14" s="6" t="s">
        <v>22</v>
      </c>
      <c r="B14" s="6" t="s">
        <v>222</v>
      </c>
      <c r="C14" s="6" t="s">
        <v>300</v>
      </c>
      <c r="D14" s="6" t="s">
        <v>303</v>
      </c>
      <c r="E14" s="7">
        <v>239.96</v>
      </c>
      <c r="F14" s="6">
        <v>1</v>
      </c>
      <c r="G14" s="8">
        <v>0.1</v>
      </c>
      <c r="H14" s="9" t="s">
        <v>315</v>
      </c>
      <c r="I14" s="6">
        <v>2</v>
      </c>
      <c r="J14" s="6">
        <v>67.28</v>
      </c>
      <c r="K14" s="9">
        <f t="shared" si="0"/>
        <v>46054</v>
      </c>
      <c r="L14" s="32">
        <f t="shared" ca="1" si="1"/>
        <v>46278.541162037036</v>
      </c>
    </row>
    <row r="15" spans="1:12" ht="13.5">
      <c r="A15" s="6" t="s">
        <v>23</v>
      </c>
      <c r="B15" s="6" t="s">
        <v>223</v>
      </c>
      <c r="C15" s="6" t="s">
        <v>299</v>
      </c>
      <c r="D15" s="6" t="s">
        <v>306</v>
      </c>
      <c r="E15" s="7">
        <v>537.21</v>
      </c>
      <c r="F15" s="6">
        <v>4</v>
      </c>
      <c r="G15" s="8">
        <v>0.05</v>
      </c>
      <c r="H15" s="9" t="s">
        <v>319</v>
      </c>
      <c r="I15" s="6">
        <v>2</v>
      </c>
      <c r="J15" s="6">
        <v>118.11</v>
      </c>
      <c r="K15" s="9">
        <f t="shared" si="0"/>
        <v>46054</v>
      </c>
      <c r="L15" s="32">
        <f t="shared" ca="1" si="1"/>
        <v>46278.541162037036</v>
      </c>
    </row>
    <row r="16" spans="1:12" ht="13.5">
      <c r="A16" s="6" t="s">
        <v>24</v>
      </c>
      <c r="B16" s="6" t="s">
        <v>224</v>
      </c>
      <c r="C16" s="6" t="s">
        <v>300</v>
      </c>
      <c r="D16" s="6" t="s">
        <v>304</v>
      </c>
      <c r="E16" s="7">
        <v>374.55</v>
      </c>
      <c r="F16" s="6">
        <v>5</v>
      </c>
      <c r="G16" s="8">
        <v>0</v>
      </c>
      <c r="H16" s="9" t="s">
        <v>320</v>
      </c>
      <c r="I16" s="6">
        <v>5</v>
      </c>
      <c r="J16" s="6">
        <v>128.26</v>
      </c>
      <c r="K16" s="9">
        <f t="shared" si="0"/>
        <v>46143</v>
      </c>
      <c r="L16" s="32">
        <f t="shared" ca="1" si="1"/>
        <v>46278.541162037036</v>
      </c>
    </row>
    <row r="17" spans="1:12" ht="13.5">
      <c r="A17" s="6" t="s">
        <v>25</v>
      </c>
      <c r="B17" s="6" t="s">
        <v>225</v>
      </c>
      <c r="C17" s="6" t="s">
        <v>299</v>
      </c>
      <c r="D17" s="6" t="s">
        <v>306</v>
      </c>
      <c r="E17" s="7">
        <v>597.13</v>
      </c>
      <c r="F17" s="6">
        <v>5</v>
      </c>
      <c r="G17" s="8">
        <v>0.15</v>
      </c>
      <c r="H17" s="9" t="s">
        <v>321</v>
      </c>
      <c r="I17" s="6">
        <v>3</v>
      </c>
      <c r="J17" s="6">
        <v>102.97</v>
      </c>
      <c r="K17" s="9">
        <f t="shared" si="0"/>
        <v>46082</v>
      </c>
      <c r="L17" s="32">
        <f t="shared" ca="1" si="1"/>
        <v>46278.541162037036</v>
      </c>
    </row>
    <row r="18" spans="1:12" ht="13.5">
      <c r="A18" s="6" t="s">
        <v>26</v>
      </c>
      <c r="B18" s="6" t="s">
        <v>226</v>
      </c>
      <c r="C18" s="6" t="s">
        <v>298</v>
      </c>
      <c r="D18" s="6" t="s">
        <v>306</v>
      </c>
      <c r="E18" s="7">
        <v>1153.02</v>
      </c>
      <c r="F18" s="6">
        <v>8</v>
      </c>
      <c r="G18" s="8">
        <v>0</v>
      </c>
      <c r="H18" s="9" t="s">
        <v>322</v>
      </c>
      <c r="I18" s="6">
        <v>2</v>
      </c>
      <c r="J18" s="6">
        <v>305.64</v>
      </c>
      <c r="K18" s="9">
        <f t="shared" si="0"/>
        <v>46054</v>
      </c>
      <c r="L18" s="32">
        <f t="shared" ca="1" si="1"/>
        <v>46278.541162037036</v>
      </c>
    </row>
    <row r="19" spans="1:12" ht="13.5">
      <c r="A19" s="6" t="s">
        <v>27</v>
      </c>
      <c r="B19" s="6" t="s">
        <v>227</v>
      </c>
      <c r="C19" s="6" t="s">
        <v>298</v>
      </c>
      <c r="D19" s="6" t="s">
        <v>304</v>
      </c>
      <c r="E19" s="7">
        <v>160.79</v>
      </c>
      <c r="F19" s="6">
        <v>2</v>
      </c>
      <c r="G19" s="8">
        <v>0</v>
      </c>
      <c r="H19" s="9" t="s">
        <v>323</v>
      </c>
      <c r="I19" s="6">
        <v>1</v>
      </c>
      <c r="J19" s="6">
        <v>56.16</v>
      </c>
      <c r="K19" s="9">
        <f t="shared" si="0"/>
        <v>46023</v>
      </c>
      <c r="L19" s="32">
        <f t="shared" ca="1" si="1"/>
        <v>46278.541162037036</v>
      </c>
    </row>
    <row r="20" spans="1:12" ht="13.5">
      <c r="A20" s="6" t="s">
        <v>28</v>
      </c>
      <c r="B20" s="6" t="s">
        <v>228</v>
      </c>
      <c r="C20" s="6" t="s">
        <v>299</v>
      </c>
      <c r="D20" s="6" t="s">
        <v>303</v>
      </c>
      <c r="E20" s="7">
        <v>838.43</v>
      </c>
      <c r="F20" s="6">
        <v>4</v>
      </c>
      <c r="G20" s="8">
        <v>0.15</v>
      </c>
      <c r="H20" s="9" t="s">
        <v>324</v>
      </c>
      <c r="I20" s="6">
        <v>6</v>
      </c>
      <c r="J20" s="6">
        <v>213.74</v>
      </c>
      <c r="K20" s="9">
        <f t="shared" si="0"/>
        <v>46174</v>
      </c>
      <c r="L20" s="32">
        <f t="shared" ca="1" si="1"/>
        <v>46278.541162037036</v>
      </c>
    </row>
    <row r="21" spans="1:12" ht="13.5">
      <c r="A21" s="6" t="s">
        <v>29</v>
      </c>
      <c r="B21" s="6" t="s">
        <v>229</v>
      </c>
      <c r="C21" s="6" t="s">
        <v>301</v>
      </c>
      <c r="D21" s="6" t="s">
        <v>304</v>
      </c>
      <c r="E21" s="7">
        <v>364.13</v>
      </c>
      <c r="F21" s="6">
        <v>5</v>
      </c>
      <c r="G21" s="8">
        <v>0.05</v>
      </c>
      <c r="H21" s="9" t="s">
        <v>325</v>
      </c>
      <c r="I21" s="6">
        <v>1</v>
      </c>
      <c r="J21" s="6">
        <v>125.57</v>
      </c>
      <c r="K21" s="9">
        <f t="shared" si="0"/>
        <v>46023</v>
      </c>
      <c r="L21" s="32">
        <f t="shared" ca="1" si="1"/>
        <v>46278.541162037036</v>
      </c>
    </row>
    <row r="22" spans="1:12" ht="13.5">
      <c r="A22" s="6" t="s">
        <v>30</v>
      </c>
      <c r="B22" s="6" t="s">
        <v>230</v>
      </c>
      <c r="C22" s="6" t="s">
        <v>301</v>
      </c>
      <c r="D22" s="6" t="s">
        <v>303</v>
      </c>
      <c r="E22" s="7">
        <v>2300.33</v>
      </c>
      <c r="F22" s="6">
        <v>10</v>
      </c>
      <c r="G22" s="8">
        <v>0.1</v>
      </c>
      <c r="H22" s="9" t="s">
        <v>319</v>
      </c>
      <c r="I22" s="6">
        <v>2</v>
      </c>
      <c r="J22" s="6">
        <v>647.59</v>
      </c>
      <c r="K22" s="9">
        <f t="shared" si="0"/>
        <v>46054</v>
      </c>
      <c r="L22" s="32">
        <f t="shared" ca="1" si="1"/>
        <v>46278.541162037036</v>
      </c>
    </row>
    <row r="23" spans="1:12" ht="13.5">
      <c r="A23" s="6" t="s">
        <v>31</v>
      </c>
      <c r="B23" s="6" t="s">
        <v>223</v>
      </c>
      <c r="C23" s="6" t="s">
        <v>298</v>
      </c>
      <c r="D23" s="6" t="s">
        <v>306</v>
      </c>
      <c r="E23" s="7">
        <v>556.74</v>
      </c>
      <c r="F23" s="6">
        <v>4</v>
      </c>
      <c r="G23" s="8">
        <v>0</v>
      </c>
      <c r="H23" s="9" t="s">
        <v>326</v>
      </c>
      <c r="I23" s="6">
        <v>1</v>
      </c>
      <c r="J23" s="6">
        <v>174.63</v>
      </c>
      <c r="K23" s="9">
        <f t="shared" si="0"/>
        <v>46023</v>
      </c>
      <c r="L23" s="32">
        <f t="shared" ca="1" si="1"/>
        <v>46278.541162037036</v>
      </c>
    </row>
    <row r="24" spans="1:12" ht="13.5">
      <c r="A24" s="6" t="s">
        <v>32</v>
      </c>
      <c r="B24" s="6" t="s">
        <v>231</v>
      </c>
      <c r="C24" s="6" t="s">
        <v>298</v>
      </c>
      <c r="D24" s="6" t="s">
        <v>305</v>
      </c>
      <c r="E24" s="7">
        <v>1341.8</v>
      </c>
      <c r="F24" s="6">
        <v>7</v>
      </c>
      <c r="G24" s="8">
        <v>0</v>
      </c>
      <c r="H24" s="9" t="s">
        <v>327</v>
      </c>
      <c r="I24" s="6">
        <v>4</v>
      </c>
      <c r="J24" s="6">
        <v>293.5</v>
      </c>
      <c r="K24" s="9">
        <f t="shared" si="0"/>
        <v>46113</v>
      </c>
      <c r="L24" s="32">
        <f t="shared" ca="1" si="1"/>
        <v>46278.541162037036</v>
      </c>
    </row>
    <row r="25" spans="1:12" ht="13.5">
      <c r="A25" s="6" t="s">
        <v>33</v>
      </c>
      <c r="B25" s="6" t="s">
        <v>228</v>
      </c>
      <c r="C25" s="6" t="s">
        <v>300</v>
      </c>
      <c r="D25" s="6" t="s">
        <v>304</v>
      </c>
      <c r="E25" s="7">
        <v>140.15</v>
      </c>
      <c r="F25" s="6">
        <v>2</v>
      </c>
      <c r="G25" s="8">
        <v>0.1</v>
      </c>
      <c r="H25" s="9" t="s">
        <v>328</v>
      </c>
      <c r="I25" s="6">
        <v>3</v>
      </c>
      <c r="J25" s="6">
        <v>31.33</v>
      </c>
      <c r="K25" s="9">
        <f t="shared" si="0"/>
        <v>46082</v>
      </c>
      <c r="L25" s="32">
        <f t="shared" ca="1" si="1"/>
        <v>46278.541162037036</v>
      </c>
    </row>
    <row r="26" spans="1:12" ht="13.5">
      <c r="A26" s="6" t="s">
        <v>34</v>
      </c>
      <c r="B26" s="6" t="s">
        <v>213</v>
      </c>
      <c r="C26" s="6" t="s">
        <v>298</v>
      </c>
      <c r="D26" s="6" t="s">
        <v>305</v>
      </c>
      <c r="E26" s="7">
        <v>1784.19</v>
      </c>
      <c r="F26" s="6">
        <v>9</v>
      </c>
      <c r="G26" s="8">
        <v>0</v>
      </c>
      <c r="H26" s="9" t="s">
        <v>311</v>
      </c>
      <c r="I26" s="6">
        <v>5</v>
      </c>
      <c r="J26" s="6">
        <v>451.47</v>
      </c>
      <c r="K26" s="9">
        <f t="shared" si="0"/>
        <v>46143</v>
      </c>
      <c r="L26" s="32">
        <f t="shared" ca="1" si="1"/>
        <v>46278.541162037036</v>
      </c>
    </row>
    <row r="27" spans="1:12" ht="13.5">
      <c r="A27" s="6" t="s">
        <v>35</v>
      </c>
      <c r="B27" s="6" t="s">
        <v>232</v>
      </c>
      <c r="C27" s="6" t="s">
        <v>299</v>
      </c>
      <c r="D27" s="6" t="s">
        <v>303</v>
      </c>
      <c r="E27" s="7">
        <v>951.33</v>
      </c>
      <c r="F27" s="6">
        <v>4</v>
      </c>
      <c r="G27" s="8">
        <v>0.1</v>
      </c>
      <c r="H27" s="9" t="s">
        <v>329</v>
      </c>
      <c r="I27" s="6">
        <v>3</v>
      </c>
      <c r="J27" s="6">
        <v>189.12</v>
      </c>
      <c r="K27" s="9">
        <f t="shared" si="0"/>
        <v>46082</v>
      </c>
      <c r="L27" s="32">
        <f t="shared" ca="1" si="1"/>
        <v>46278.541162037036</v>
      </c>
    </row>
    <row r="28" spans="1:12" ht="13.5">
      <c r="A28" s="6" t="s">
        <v>36</v>
      </c>
      <c r="B28" s="6" t="s">
        <v>230</v>
      </c>
      <c r="C28" s="6" t="s">
        <v>301</v>
      </c>
      <c r="D28" s="6" t="s">
        <v>304</v>
      </c>
      <c r="E28" s="7">
        <v>203.03</v>
      </c>
      <c r="F28" s="6">
        <v>3</v>
      </c>
      <c r="G28" s="8">
        <v>0.1</v>
      </c>
      <c r="H28" s="9" t="s">
        <v>330</v>
      </c>
      <c r="I28" s="6">
        <v>1</v>
      </c>
      <c r="J28" s="6">
        <v>69.959999999999994</v>
      </c>
      <c r="K28" s="9">
        <f t="shared" si="0"/>
        <v>46023</v>
      </c>
      <c r="L28" s="32">
        <f t="shared" ca="1" si="1"/>
        <v>46278.541162037036</v>
      </c>
    </row>
    <row r="29" spans="1:12" ht="13.5">
      <c r="A29" s="6" t="s">
        <v>37</v>
      </c>
      <c r="B29" s="6" t="s">
        <v>233</v>
      </c>
      <c r="C29" s="6" t="s">
        <v>301</v>
      </c>
      <c r="D29" s="6" t="s">
        <v>305</v>
      </c>
      <c r="E29" s="7">
        <v>902.56</v>
      </c>
      <c r="F29" s="6">
        <v>5</v>
      </c>
      <c r="G29" s="8">
        <v>0.1</v>
      </c>
      <c r="H29" s="9" t="s">
        <v>322</v>
      </c>
      <c r="I29" s="6">
        <v>2</v>
      </c>
      <c r="J29" s="6">
        <v>206.34</v>
      </c>
      <c r="K29" s="9">
        <f t="shared" si="0"/>
        <v>46054</v>
      </c>
      <c r="L29" s="32">
        <f t="shared" ca="1" si="1"/>
        <v>46278.541162037036</v>
      </c>
    </row>
    <row r="30" spans="1:12" ht="13.5">
      <c r="A30" s="6" t="s">
        <v>38</v>
      </c>
      <c r="B30" s="6" t="s">
        <v>234</v>
      </c>
      <c r="C30" s="6" t="s">
        <v>300</v>
      </c>
      <c r="D30" s="6" t="s">
        <v>305</v>
      </c>
      <c r="E30" s="7">
        <v>519.42999999999995</v>
      </c>
      <c r="F30" s="6">
        <v>3</v>
      </c>
      <c r="G30" s="8">
        <v>0.15</v>
      </c>
      <c r="H30" s="9" t="s">
        <v>331</v>
      </c>
      <c r="I30" s="6">
        <v>3</v>
      </c>
      <c r="J30" s="6">
        <v>157.6</v>
      </c>
      <c r="K30" s="9">
        <f t="shared" si="0"/>
        <v>46082</v>
      </c>
      <c r="L30" s="32">
        <f t="shared" ca="1" si="1"/>
        <v>46278.541162037036</v>
      </c>
    </row>
    <row r="31" spans="1:12" ht="13.5">
      <c r="A31" s="6" t="s">
        <v>39</v>
      </c>
      <c r="B31" s="6" t="s">
        <v>235</v>
      </c>
      <c r="C31" s="6" t="s">
        <v>301</v>
      </c>
      <c r="D31" s="6" t="s">
        <v>304</v>
      </c>
      <c r="E31" s="7">
        <v>138.21</v>
      </c>
      <c r="F31" s="6">
        <v>2</v>
      </c>
      <c r="G31" s="8">
        <v>0.05</v>
      </c>
      <c r="H31" s="9" t="s">
        <v>332</v>
      </c>
      <c r="I31" s="6">
        <v>1</v>
      </c>
      <c r="J31" s="6">
        <v>41.63</v>
      </c>
      <c r="K31" s="9">
        <f t="shared" si="0"/>
        <v>46023</v>
      </c>
      <c r="L31" s="32">
        <f t="shared" ca="1" si="1"/>
        <v>46278.541162037036</v>
      </c>
    </row>
    <row r="32" spans="1:12" ht="13.5">
      <c r="A32" s="6" t="s">
        <v>40</v>
      </c>
      <c r="B32" s="6" t="s">
        <v>233</v>
      </c>
      <c r="C32" s="6" t="s">
        <v>301</v>
      </c>
      <c r="D32" s="6" t="s">
        <v>305</v>
      </c>
      <c r="E32" s="7">
        <v>194.09</v>
      </c>
      <c r="F32" s="6">
        <v>1</v>
      </c>
      <c r="G32" s="8">
        <v>0.05</v>
      </c>
      <c r="H32" s="9" t="s">
        <v>333</v>
      </c>
      <c r="I32" s="6">
        <v>2</v>
      </c>
      <c r="J32" s="6">
        <v>64.819999999999993</v>
      </c>
      <c r="K32" s="9">
        <f t="shared" si="0"/>
        <v>46054</v>
      </c>
      <c r="L32" s="32">
        <f t="shared" ca="1" si="1"/>
        <v>46278.541162037036</v>
      </c>
    </row>
    <row r="33" spans="1:12" ht="13.5">
      <c r="A33" s="6" t="s">
        <v>41</v>
      </c>
      <c r="B33" s="6" t="s">
        <v>236</v>
      </c>
      <c r="C33" s="6" t="s">
        <v>302</v>
      </c>
      <c r="D33" s="6" t="s">
        <v>304</v>
      </c>
      <c r="E33" s="7">
        <v>179.35</v>
      </c>
      <c r="F33" s="6">
        <v>3</v>
      </c>
      <c r="G33" s="8">
        <v>0.2</v>
      </c>
      <c r="H33" s="9" t="s">
        <v>334</v>
      </c>
      <c r="I33" s="6">
        <v>4</v>
      </c>
      <c r="J33" s="6">
        <v>35.96</v>
      </c>
      <c r="K33" s="9">
        <f t="shared" si="0"/>
        <v>46113</v>
      </c>
      <c r="L33" s="32">
        <f t="shared" ca="1" si="1"/>
        <v>46278.541162037036</v>
      </c>
    </row>
    <row r="34" spans="1:12" ht="13.5">
      <c r="A34" s="6" t="s">
        <v>42</v>
      </c>
      <c r="B34" s="6" t="s">
        <v>237</v>
      </c>
      <c r="C34" s="6" t="s">
        <v>299</v>
      </c>
      <c r="D34" s="6" t="s">
        <v>305</v>
      </c>
      <c r="E34" s="7">
        <v>776.06</v>
      </c>
      <c r="F34" s="6">
        <v>5</v>
      </c>
      <c r="G34" s="8">
        <v>0.15</v>
      </c>
      <c r="H34" s="9" t="s">
        <v>335</v>
      </c>
      <c r="I34" s="6">
        <v>5</v>
      </c>
      <c r="J34" s="6">
        <v>186.55</v>
      </c>
      <c r="K34" s="9">
        <f t="shared" ref="K34:K65" si="2">EOMONTH(H34, -1) + 1</f>
        <v>46143</v>
      </c>
      <c r="L34" s="32">
        <f t="shared" ref="L34:L65" ca="1" si="3">NOW()</f>
        <v>46278.541162037036</v>
      </c>
    </row>
    <row r="35" spans="1:12" ht="13.5">
      <c r="A35" s="6" t="s">
        <v>43</v>
      </c>
      <c r="B35" s="6" t="s">
        <v>238</v>
      </c>
      <c r="C35" s="6" t="s">
        <v>302</v>
      </c>
      <c r="D35" s="6" t="s">
        <v>306</v>
      </c>
      <c r="E35" s="7">
        <v>1307.73</v>
      </c>
      <c r="F35" s="6">
        <v>10</v>
      </c>
      <c r="G35" s="8">
        <v>0.2</v>
      </c>
      <c r="H35" s="9" t="s">
        <v>336</v>
      </c>
      <c r="I35" s="6">
        <v>1</v>
      </c>
      <c r="J35" s="6">
        <v>259.58999999999997</v>
      </c>
      <c r="K35" s="9">
        <f t="shared" si="2"/>
        <v>46023</v>
      </c>
      <c r="L35" s="32">
        <f t="shared" ca="1" si="3"/>
        <v>46278.541162037036</v>
      </c>
    </row>
    <row r="36" spans="1:12" ht="13.5">
      <c r="A36" s="6" t="s">
        <v>44</v>
      </c>
      <c r="B36" s="6" t="s">
        <v>239</v>
      </c>
      <c r="C36" s="6" t="s">
        <v>301</v>
      </c>
      <c r="D36" s="6" t="s">
        <v>304</v>
      </c>
      <c r="E36" s="7">
        <v>830.78</v>
      </c>
      <c r="F36" s="6">
        <v>10</v>
      </c>
      <c r="G36" s="8">
        <v>0.05</v>
      </c>
      <c r="H36" s="9" t="s">
        <v>337</v>
      </c>
      <c r="I36" s="6">
        <v>1</v>
      </c>
      <c r="J36" s="6">
        <v>177.83</v>
      </c>
      <c r="K36" s="9">
        <f t="shared" si="2"/>
        <v>46023</v>
      </c>
      <c r="L36" s="32">
        <f t="shared" ca="1" si="3"/>
        <v>46278.541162037036</v>
      </c>
    </row>
    <row r="37" spans="1:12" ht="13.5">
      <c r="A37" s="6" t="s">
        <v>45</v>
      </c>
      <c r="B37" s="6" t="s">
        <v>235</v>
      </c>
      <c r="C37" s="6" t="s">
        <v>300</v>
      </c>
      <c r="D37" s="6" t="s">
        <v>306</v>
      </c>
      <c r="E37" s="7">
        <v>756.45</v>
      </c>
      <c r="F37" s="6">
        <v>5</v>
      </c>
      <c r="G37" s="8">
        <v>0.05</v>
      </c>
      <c r="H37" s="9" t="s">
        <v>338</v>
      </c>
      <c r="I37" s="6">
        <v>5</v>
      </c>
      <c r="J37" s="6">
        <v>241.68</v>
      </c>
      <c r="K37" s="9">
        <f t="shared" si="2"/>
        <v>46143</v>
      </c>
      <c r="L37" s="32">
        <f t="shared" ca="1" si="3"/>
        <v>46278.541162037036</v>
      </c>
    </row>
    <row r="38" spans="1:12" ht="13.5">
      <c r="A38" s="6" t="s">
        <v>46</v>
      </c>
      <c r="B38" s="6" t="s">
        <v>240</v>
      </c>
      <c r="C38" s="6" t="s">
        <v>300</v>
      </c>
      <c r="D38" s="6" t="s">
        <v>306</v>
      </c>
      <c r="E38" s="7">
        <v>1095.45</v>
      </c>
      <c r="F38" s="6">
        <v>8</v>
      </c>
      <c r="G38" s="8">
        <v>0.05</v>
      </c>
      <c r="H38" s="9" t="s">
        <v>339</v>
      </c>
      <c r="I38" s="6">
        <v>4</v>
      </c>
      <c r="J38" s="6">
        <v>253.22</v>
      </c>
      <c r="K38" s="9">
        <f t="shared" si="2"/>
        <v>46113</v>
      </c>
      <c r="L38" s="32">
        <f t="shared" ca="1" si="3"/>
        <v>46278.541162037036</v>
      </c>
    </row>
    <row r="39" spans="1:12" ht="13.5">
      <c r="A39" s="6" t="s">
        <v>47</v>
      </c>
      <c r="B39" s="6" t="s">
        <v>241</v>
      </c>
      <c r="C39" s="6" t="s">
        <v>301</v>
      </c>
      <c r="D39" s="6" t="s">
        <v>305</v>
      </c>
      <c r="E39" s="7">
        <v>367.81</v>
      </c>
      <c r="F39" s="6">
        <v>2</v>
      </c>
      <c r="G39" s="8">
        <v>0</v>
      </c>
      <c r="H39" s="9" t="s">
        <v>340</v>
      </c>
      <c r="I39" s="6">
        <v>4</v>
      </c>
      <c r="J39" s="6">
        <v>75.349999999999994</v>
      </c>
      <c r="K39" s="9">
        <f t="shared" si="2"/>
        <v>46113</v>
      </c>
      <c r="L39" s="32">
        <f t="shared" ca="1" si="3"/>
        <v>46278.541162037036</v>
      </c>
    </row>
    <row r="40" spans="1:12" ht="13.5">
      <c r="A40" s="6" t="s">
        <v>48</v>
      </c>
      <c r="B40" s="6" t="s">
        <v>242</v>
      </c>
      <c r="C40" s="6" t="s">
        <v>298</v>
      </c>
      <c r="D40" s="6" t="s">
        <v>303</v>
      </c>
      <c r="E40" s="7">
        <v>1658.95</v>
      </c>
      <c r="F40" s="6">
        <v>8</v>
      </c>
      <c r="G40" s="8">
        <v>0.2</v>
      </c>
      <c r="H40" s="9" t="s">
        <v>341</v>
      </c>
      <c r="I40" s="6">
        <v>5</v>
      </c>
      <c r="J40" s="6">
        <v>380.06</v>
      </c>
      <c r="K40" s="9">
        <f t="shared" si="2"/>
        <v>46143</v>
      </c>
      <c r="L40" s="32">
        <f t="shared" ca="1" si="3"/>
        <v>46278.541162037036</v>
      </c>
    </row>
    <row r="41" spans="1:12" ht="13.5">
      <c r="A41" s="6" t="s">
        <v>49</v>
      </c>
      <c r="B41" s="6" t="s">
        <v>236</v>
      </c>
      <c r="C41" s="6" t="s">
        <v>302</v>
      </c>
      <c r="D41" s="6" t="s">
        <v>306</v>
      </c>
      <c r="E41" s="7">
        <v>629.87</v>
      </c>
      <c r="F41" s="6">
        <v>5</v>
      </c>
      <c r="G41" s="8">
        <v>0.15</v>
      </c>
      <c r="H41" s="9" t="s">
        <v>342</v>
      </c>
      <c r="I41" s="6">
        <v>6</v>
      </c>
      <c r="J41" s="6">
        <v>101.05</v>
      </c>
      <c r="K41" s="9">
        <f t="shared" si="2"/>
        <v>46174</v>
      </c>
      <c r="L41" s="32">
        <f t="shared" ca="1" si="3"/>
        <v>46278.541162037036</v>
      </c>
    </row>
    <row r="42" spans="1:12" ht="13.5">
      <c r="A42" s="6" t="s">
        <v>50</v>
      </c>
      <c r="B42" s="6" t="s">
        <v>241</v>
      </c>
      <c r="C42" s="6" t="s">
        <v>301</v>
      </c>
      <c r="D42" s="6" t="s">
        <v>306</v>
      </c>
      <c r="E42" s="7">
        <v>776.5</v>
      </c>
      <c r="F42" s="6">
        <v>7</v>
      </c>
      <c r="G42" s="8">
        <v>0.2</v>
      </c>
      <c r="H42" s="9" t="s">
        <v>343</v>
      </c>
      <c r="I42" s="6">
        <v>1</v>
      </c>
      <c r="J42" s="6">
        <v>223.7</v>
      </c>
      <c r="K42" s="9">
        <f t="shared" si="2"/>
        <v>46023</v>
      </c>
      <c r="L42" s="32">
        <f t="shared" ca="1" si="3"/>
        <v>46278.541162037036</v>
      </c>
    </row>
    <row r="43" spans="1:12" ht="13.5">
      <c r="A43" s="6" t="s">
        <v>51</v>
      </c>
      <c r="B43" s="6" t="s">
        <v>243</v>
      </c>
      <c r="C43" s="6" t="s">
        <v>300</v>
      </c>
      <c r="D43" s="6" t="s">
        <v>306</v>
      </c>
      <c r="E43" s="7">
        <v>711.81</v>
      </c>
      <c r="F43" s="6">
        <v>5</v>
      </c>
      <c r="G43" s="8">
        <v>0.05</v>
      </c>
      <c r="H43" s="9" t="s">
        <v>344</v>
      </c>
      <c r="I43" s="6">
        <v>4</v>
      </c>
      <c r="J43" s="6">
        <v>260.37</v>
      </c>
      <c r="K43" s="9">
        <f t="shared" si="2"/>
        <v>46113</v>
      </c>
      <c r="L43" s="32">
        <f t="shared" ca="1" si="3"/>
        <v>46278.541162037036</v>
      </c>
    </row>
    <row r="44" spans="1:12" ht="13.5">
      <c r="A44" s="6" t="s">
        <v>52</v>
      </c>
      <c r="B44" s="6" t="s">
        <v>244</v>
      </c>
      <c r="C44" s="6" t="s">
        <v>300</v>
      </c>
      <c r="D44" s="6" t="s">
        <v>303</v>
      </c>
      <c r="E44" s="7">
        <v>1734.4</v>
      </c>
      <c r="F44" s="6">
        <v>9</v>
      </c>
      <c r="G44" s="8">
        <v>0.15</v>
      </c>
      <c r="H44" s="9" t="s">
        <v>345</v>
      </c>
      <c r="I44" s="6">
        <v>5</v>
      </c>
      <c r="J44" s="6">
        <v>534.15</v>
      </c>
      <c r="K44" s="9">
        <f t="shared" si="2"/>
        <v>46143</v>
      </c>
      <c r="L44" s="32">
        <f t="shared" ca="1" si="3"/>
        <v>46278.541162037036</v>
      </c>
    </row>
    <row r="45" spans="1:12" ht="13.5">
      <c r="A45" s="6" t="s">
        <v>53</v>
      </c>
      <c r="B45" s="6" t="s">
        <v>245</v>
      </c>
      <c r="C45" s="6" t="s">
        <v>302</v>
      </c>
      <c r="D45" s="6" t="s">
        <v>303</v>
      </c>
      <c r="E45" s="7">
        <v>1947.36</v>
      </c>
      <c r="F45" s="6">
        <v>9</v>
      </c>
      <c r="G45" s="8">
        <v>0.2</v>
      </c>
      <c r="H45" s="9" t="s">
        <v>346</v>
      </c>
      <c r="I45" s="6">
        <v>2</v>
      </c>
      <c r="J45" s="6">
        <v>338.9</v>
      </c>
      <c r="K45" s="9">
        <f t="shared" si="2"/>
        <v>46054</v>
      </c>
      <c r="L45" s="32">
        <f t="shared" ca="1" si="3"/>
        <v>46278.541162037036</v>
      </c>
    </row>
    <row r="46" spans="1:12" ht="13.5">
      <c r="A46" s="6" t="s">
        <v>54</v>
      </c>
      <c r="B46" s="6" t="s">
        <v>235</v>
      </c>
      <c r="C46" s="6" t="s">
        <v>299</v>
      </c>
      <c r="D46" s="6" t="s">
        <v>306</v>
      </c>
      <c r="E46" s="7">
        <v>1085</v>
      </c>
      <c r="F46" s="6">
        <v>8</v>
      </c>
      <c r="G46" s="8">
        <v>0.05</v>
      </c>
      <c r="H46" s="9" t="s">
        <v>347</v>
      </c>
      <c r="I46" s="6">
        <v>6</v>
      </c>
      <c r="J46" s="6">
        <v>193.23</v>
      </c>
      <c r="K46" s="9">
        <f t="shared" si="2"/>
        <v>46174</v>
      </c>
      <c r="L46" s="32">
        <f t="shared" ca="1" si="3"/>
        <v>46278.541162037036</v>
      </c>
    </row>
    <row r="47" spans="1:12" ht="13.5">
      <c r="A47" s="6" t="s">
        <v>55</v>
      </c>
      <c r="B47" s="6" t="s">
        <v>246</v>
      </c>
      <c r="C47" s="6" t="s">
        <v>301</v>
      </c>
      <c r="D47" s="6" t="s">
        <v>303</v>
      </c>
      <c r="E47" s="7">
        <v>1961.76</v>
      </c>
      <c r="F47" s="6">
        <v>8</v>
      </c>
      <c r="G47" s="8">
        <v>0.05</v>
      </c>
      <c r="H47" s="9" t="s">
        <v>348</v>
      </c>
      <c r="I47" s="6">
        <v>1</v>
      </c>
      <c r="J47" s="6">
        <v>707.54</v>
      </c>
      <c r="K47" s="9">
        <f t="shared" si="2"/>
        <v>46023</v>
      </c>
      <c r="L47" s="32">
        <f t="shared" ca="1" si="3"/>
        <v>46278.541162037036</v>
      </c>
    </row>
    <row r="48" spans="1:12" ht="13.5">
      <c r="A48" s="6" t="s">
        <v>56</v>
      </c>
      <c r="B48" s="6" t="s">
        <v>239</v>
      </c>
      <c r="C48" s="6" t="s">
        <v>301</v>
      </c>
      <c r="D48" s="6" t="s">
        <v>303</v>
      </c>
      <c r="E48" s="7">
        <v>409</v>
      </c>
      <c r="F48" s="6">
        <v>2</v>
      </c>
      <c r="G48" s="8">
        <v>0.15</v>
      </c>
      <c r="H48" s="9" t="s">
        <v>349</v>
      </c>
      <c r="I48" s="6">
        <v>6</v>
      </c>
      <c r="J48" s="6">
        <v>86.15</v>
      </c>
      <c r="K48" s="9">
        <f t="shared" si="2"/>
        <v>46174</v>
      </c>
      <c r="L48" s="32">
        <f t="shared" ca="1" si="3"/>
        <v>46278.541162037036</v>
      </c>
    </row>
    <row r="49" spans="1:12" ht="13.5">
      <c r="A49" s="6" t="s">
        <v>57</v>
      </c>
      <c r="B49" s="6" t="s">
        <v>247</v>
      </c>
      <c r="C49" s="6" t="s">
        <v>299</v>
      </c>
      <c r="D49" s="6" t="s">
        <v>303</v>
      </c>
      <c r="E49" s="7">
        <v>2259.0300000000002</v>
      </c>
      <c r="F49" s="6">
        <v>10</v>
      </c>
      <c r="G49" s="8">
        <v>0.1</v>
      </c>
      <c r="H49" s="9" t="s">
        <v>350</v>
      </c>
      <c r="I49" s="6">
        <v>5</v>
      </c>
      <c r="J49" s="6">
        <v>775.59</v>
      </c>
      <c r="K49" s="9">
        <f t="shared" si="2"/>
        <v>46143</v>
      </c>
      <c r="L49" s="32">
        <f t="shared" ca="1" si="3"/>
        <v>46278.541162037036</v>
      </c>
    </row>
    <row r="50" spans="1:12" ht="13.5">
      <c r="A50" s="6" t="s">
        <v>58</v>
      </c>
      <c r="B50" s="6" t="s">
        <v>248</v>
      </c>
      <c r="C50" s="6" t="s">
        <v>302</v>
      </c>
      <c r="D50" s="6" t="s">
        <v>304</v>
      </c>
      <c r="E50" s="7">
        <v>68.64</v>
      </c>
      <c r="F50" s="6">
        <v>1</v>
      </c>
      <c r="G50" s="8">
        <v>0.15</v>
      </c>
      <c r="H50" s="9" t="s">
        <v>351</v>
      </c>
      <c r="I50" s="6">
        <v>3</v>
      </c>
      <c r="J50" s="6">
        <v>21.81</v>
      </c>
      <c r="K50" s="9">
        <f t="shared" si="2"/>
        <v>46082</v>
      </c>
      <c r="L50" s="32">
        <f t="shared" ca="1" si="3"/>
        <v>46278.541162037036</v>
      </c>
    </row>
    <row r="51" spans="1:12" ht="13.5">
      <c r="A51" s="6" t="s">
        <v>59</v>
      </c>
      <c r="B51" s="6" t="s">
        <v>249</v>
      </c>
      <c r="C51" s="6" t="s">
        <v>302</v>
      </c>
      <c r="D51" s="6" t="s">
        <v>306</v>
      </c>
      <c r="E51" s="7">
        <v>885.44</v>
      </c>
      <c r="F51" s="6">
        <v>7</v>
      </c>
      <c r="G51" s="8">
        <v>0.1</v>
      </c>
      <c r="H51" s="9" t="s">
        <v>352</v>
      </c>
      <c r="I51" s="6">
        <v>4</v>
      </c>
      <c r="J51" s="6">
        <v>283.87</v>
      </c>
      <c r="K51" s="9">
        <f t="shared" si="2"/>
        <v>46113</v>
      </c>
      <c r="L51" s="32">
        <f t="shared" ca="1" si="3"/>
        <v>46278.541162037036</v>
      </c>
    </row>
    <row r="52" spans="1:12" ht="13.5">
      <c r="A52" s="6" t="s">
        <v>60</v>
      </c>
      <c r="B52" s="6" t="s">
        <v>220</v>
      </c>
      <c r="C52" s="6" t="s">
        <v>300</v>
      </c>
      <c r="D52" s="6" t="s">
        <v>303</v>
      </c>
      <c r="E52" s="7">
        <v>1640.88</v>
      </c>
      <c r="F52" s="6">
        <v>6</v>
      </c>
      <c r="G52" s="8">
        <v>0</v>
      </c>
      <c r="H52" s="9" t="s">
        <v>353</v>
      </c>
      <c r="I52" s="6">
        <v>6</v>
      </c>
      <c r="J52" s="6">
        <v>424.81</v>
      </c>
      <c r="K52" s="9">
        <f t="shared" si="2"/>
        <v>46174</v>
      </c>
      <c r="L52" s="32">
        <f t="shared" ca="1" si="3"/>
        <v>46278.541162037036</v>
      </c>
    </row>
    <row r="53" spans="1:12" ht="13.5">
      <c r="A53" s="6" t="s">
        <v>61</v>
      </c>
      <c r="B53" s="6" t="s">
        <v>250</v>
      </c>
      <c r="C53" s="6" t="s">
        <v>299</v>
      </c>
      <c r="D53" s="6" t="s">
        <v>304</v>
      </c>
      <c r="E53" s="7">
        <v>717.42</v>
      </c>
      <c r="F53" s="6">
        <v>10</v>
      </c>
      <c r="G53" s="8">
        <v>0.15</v>
      </c>
      <c r="H53" s="9" t="s">
        <v>354</v>
      </c>
      <c r="I53" s="6">
        <v>1</v>
      </c>
      <c r="J53" s="6">
        <v>144.93</v>
      </c>
      <c r="K53" s="9">
        <f t="shared" si="2"/>
        <v>46023</v>
      </c>
      <c r="L53" s="32">
        <f t="shared" ca="1" si="3"/>
        <v>46278.541162037036</v>
      </c>
    </row>
    <row r="54" spans="1:12" ht="13.5">
      <c r="A54" s="6" t="s">
        <v>62</v>
      </c>
      <c r="B54" s="6" t="s">
        <v>251</v>
      </c>
      <c r="C54" s="6" t="s">
        <v>302</v>
      </c>
      <c r="D54" s="6" t="s">
        <v>305</v>
      </c>
      <c r="E54" s="7">
        <v>979.11</v>
      </c>
      <c r="F54" s="6">
        <v>5</v>
      </c>
      <c r="G54" s="8">
        <v>0.1</v>
      </c>
      <c r="H54" s="9" t="s">
        <v>355</v>
      </c>
      <c r="I54" s="6">
        <v>1</v>
      </c>
      <c r="J54" s="6">
        <v>313.54000000000002</v>
      </c>
      <c r="K54" s="9">
        <f t="shared" si="2"/>
        <v>46023</v>
      </c>
      <c r="L54" s="32">
        <f t="shared" ca="1" si="3"/>
        <v>46278.541162037036</v>
      </c>
    </row>
    <row r="55" spans="1:12" ht="13.5">
      <c r="A55" s="6" t="s">
        <v>63</v>
      </c>
      <c r="B55" s="6" t="s">
        <v>251</v>
      </c>
      <c r="C55" s="6" t="s">
        <v>298</v>
      </c>
      <c r="D55" s="6" t="s">
        <v>305</v>
      </c>
      <c r="E55" s="7">
        <v>172.63</v>
      </c>
      <c r="F55" s="6">
        <v>1</v>
      </c>
      <c r="G55" s="8">
        <v>0.2</v>
      </c>
      <c r="H55" s="9" t="s">
        <v>356</v>
      </c>
      <c r="I55" s="6">
        <v>5</v>
      </c>
      <c r="J55" s="6">
        <v>28.21</v>
      </c>
      <c r="K55" s="9">
        <f t="shared" si="2"/>
        <v>46143</v>
      </c>
      <c r="L55" s="32">
        <f t="shared" ca="1" si="3"/>
        <v>46278.541162037036</v>
      </c>
    </row>
    <row r="56" spans="1:12" ht="13.5">
      <c r="A56" s="6" t="s">
        <v>64</v>
      </c>
      <c r="B56" s="6" t="s">
        <v>239</v>
      </c>
      <c r="C56" s="6" t="s">
        <v>301</v>
      </c>
      <c r="D56" s="6" t="s">
        <v>303</v>
      </c>
      <c r="E56" s="7">
        <v>484.3</v>
      </c>
      <c r="F56" s="6">
        <v>2</v>
      </c>
      <c r="G56" s="8">
        <v>0.05</v>
      </c>
      <c r="H56" s="9" t="s">
        <v>357</v>
      </c>
      <c r="I56" s="6">
        <v>4</v>
      </c>
      <c r="J56" s="6">
        <v>101.17</v>
      </c>
      <c r="K56" s="9">
        <f t="shared" si="2"/>
        <v>46113</v>
      </c>
      <c r="L56" s="32">
        <f t="shared" ca="1" si="3"/>
        <v>46278.541162037036</v>
      </c>
    </row>
    <row r="57" spans="1:12" ht="13.5">
      <c r="A57" s="6" t="s">
        <v>65</v>
      </c>
      <c r="B57" s="6" t="s">
        <v>252</v>
      </c>
      <c r="C57" s="6" t="s">
        <v>300</v>
      </c>
      <c r="D57" s="6" t="s">
        <v>306</v>
      </c>
      <c r="E57" s="7">
        <v>650.62</v>
      </c>
      <c r="F57" s="6">
        <v>4</v>
      </c>
      <c r="G57" s="8">
        <v>0</v>
      </c>
      <c r="H57" s="9" t="s">
        <v>358</v>
      </c>
      <c r="I57" s="6">
        <v>4</v>
      </c>
      <c r="J57" s="6">
        <v>202.58</v>
      </c>
      <c r="K57" s="9">
        <f t="shared" si="2"/>
        <v>46113</v>
      </c>
      <c r="L57" s="32">
        <f t="shared" ca="1" si="3"/>
        <v>46278.541162037036</v>
      </c>
    </row>
    <row r="58" spans="1:12" ht="13.5">
      <c r="A58" s="6" t="s">
        <v>66</v>
      </c>
      <c r="B58" s="6" t="s">
        <v>253</v>
      </c>
      <c r="C58" s="6" t="s">
        <v>299</v>
      </c>
      <c r="D58" s="6" t="s">
        <v>303</v>
      </c>
      <c r="E58" s="7">
        <v>1950.11</v>
      </c>
      <c r="F58" s="6">
        <v>10</v>
      </c>
      <c r="G58" s="8">
        <v>0.15</v>
      </c>
      <c r="H58" s="9" t="s">
        <v>359</v>
      </c>
      <c r="I58" s="6">
        <v>6</v>
      </c>
      <c r="J58" s="6">
        <v>608.88</v>
      </c>
      <c r="K58" s="9">
        <f t="shared" si="2"/>
        <v>46174</v>
      </c>
      <c r="L58" s="32">
        <f t="shared" ca="1" si="3"/>
        <v>46278.541162037036</v>
      </c>
    </row>
    <row r="59" spans="1:12" ht="13.5">
      <c r="A59" s="6" t="s">
        <v>67</v>
      </c>
      <c r="B59" s="6" t="s">
        <v>216</v>
      </c>
      <c r="C59" s="6" t="s">
        <v>300</v>
      </c>
      <c r="D59" s="6" t="s">
        <v>305</v>
      </c>
      <c r="E59" s="7">
        <v>1690.55</v>
      </c>
      <c r="F59" s="6">
        <v>10</v>
      </c>
      <c r="G59" s="8">
        <v>0.1</v>
      </c>
      <c r="H59" s="9" t="s">
        <v>343</v>
      </c>
      <c r="I59" s="6">
        <v>1</v>
      </c>
      <c r="J59" s="6">
        <v>488.92</v>
      </c>
      <c r="K59" s="9">
        <f t="shared" si="2"/>
        <v>46023</v>
      </c>
      <c r="L59" s="32">
        <f t="shared" ca="1" si="3"/>
        <v>46278.541162037036</v>
      </c>
    </row>
    <row r="60" spans="1:12" ht="13.5">
      <c r="A60" s="6" t="s">
        <v>68</v>
      </c>
      <c r="B60" s="6" t="s">
        <v>254</v>
      </c>
      <c r="C60" s="6" t="s">
        <v>302</v>
      </c>
      <c r="D60" s="6" t="s">
        <v>306</v>
      </c>
      <c r="E60" s="7">
        <v>109.09</v>
      </c>
      <c r="F60" s="6">
        <v>1</v>
      </c>
      <c r="G60" s="8">
        <v>0.2</v>
      </c>
      <c r="H60" s="9" t="s">
        <v>360</v>
      </c>
      <c r="I60" s="6">
        <v>5</v>
      </c>
      <c r="J60" s="6">
        <v>23.35</v>
      </c>
      <c r="K60" s="9">
        <f t="shared" si="2"/>
        <v>46143</v>
      </c>
      <c r="L60" s="32">
        <f t="shared" ca="1" si="3"/>
        <v>46278.541162037036</v>
      </c>
    </row>
    <row r="61" spans="1:12" ht="13.5">
      <c r="A61" s="6" t="s">
        <v>69</v>
      </c>
      <c r="B61" s="6" t="s">
        <v>255</v>
      </c>
      <c r="C61" s="6" t="s">
        <v>302</v>
      </c>
      <c r="D61" s="6" t="s">
        <v>306</v>
      </c>
      <c r="E61" s="7">
        <v>651.41999999999996</v>
      </c>
      <c r="F61" s="6">
        <v>5</v>
      </c>
      <c r="G61" s="8">
        <v>0.1</v>
      </c>
      <c r="H61" s="9" t="s">
        <v>361</v>
      </c>
      <c r="I61" s="6">
        <v>4</v>
      </c>
      <c r="J61" s="6">
        <v>110.37</v>
      </c>
      <c r="K61" s="9">
        <f t="shared" si="2"/>
        <v>46113</v>
      </c>
      <c r="L61" s="32">
        <f t="shared" ca="1" si="3"/>
        <v>46278.541162037036</v>
      </c>
    </row>
    <row r="62" spans="1:12" ht="13.5">
      <c r="A62" s="6" t="s">
        <v>70</v>
      </c>
      <c r="B62" s="6" t="s">
        <v>228</v>
      </c>
      <c r="C62" s="6" t="s">
        <v>298</v>
      </c>
      <c r="D62" s="6" t="s">
        <v>305</v>
      </c>
      <c r="E62" s="7">
        <v>1662.15</v>
      </c>
      <c r="F62" s="6">
        <v>10</v>
      </c>
      <c r="G62" s="8">
        <v>0.15</v>
      </c>
      <c r="H62" s="9" t="s">
        <v>362</v>
      </c>
      <c r="I62" s="6">
        <v>1</v>
      </c>
      <c r="J62" s="6">
        <v>412.22</v>
      </c>
      <c r="K62" s="9">
        <f t="shared" si="2"/>
        <v>46023</v>
      </c>
      <c r="L62" s="32">
        <f t="shared" ca="1" si="3"/>
        <v>46278.541162037036</v>
      </c>
    </row>
    <row r="63" spans="1:12" ht="13.5">
      <c r="A63" s="6" t="s">
        <v>71</v>
      </c>
      <c r="B63" s="6" t="s">
        <v>255</v>
      </c>
      <c r="C63" s="6" t="s">
        <v>301</v>
      </c>
      <c r="D63" s="6" t="s">
        <v>304</v>
      </c>
      <c r="E63" s="7">
        <v>68.709999999999994</v>
      </c>
      <c r="F63" s="6">
        <v>1</v>
      </c>
      <c r="G63" s="8">
        <v>0.1</v>
      </c>
      <c r="H63" s="9" t="s">
        <v>363</v>
      </c>
      <c r="I63" s="6">
        <v>1</v>
      </c>
      <c r="J63" s="6">
        <v>23.91</v>
      </c>
      <c r="K63" s="9">
        <f t="shared" si="2"/>
        <v>46023</v>
      </c>
      <c r="L63" s="32">
        <f t="shared" ca="1" si="3"/>
        <v>46278.541162037036</v>
      </c>
    </row>
    <row r="64" spans="1:12" ht="13.5">
      <c r="A64" s="6" t="s">
        <v>72</v>
      </c>
      <c r="B64" s="6" t="s">
        <v>231</v>
      </c>
      <c r="C64" s="6" t="s">
        <v>299</v>
      </c>
      <c r="D64" s="6" t="s">
        <v>304</v>
      </c>
      <c r="E64" s="7">
        <v>217.41</v>
      </c>
      <c r="F64" s="6">
        <v>3</v>
      </c>
      <c r="G64" s="8">
        <v>0.15</v>
      </c>
      <c r="H64" s="9" t="s">
        <v>329</v>
      </c>
      <c r="I64" s="6">
        <v>3</v>
      </c>
      <c r="J64" s="6">
        <v>33.270000000000003</v>
      </c>
      <c r="K64" s="9">
        <f t="shared" si="2"/>
        <v>46082</v>
      </c>
      <c r="L64" s="32">
        <f t="shared" ca="1" si="3"/>
        <v>46278.541162037036</v>
      </c>
    </row>
    <row r="65" spans="1:12" ht="13.5">
      <c r="A65" s="6" t="s">
        <v>73</v>
      </c>
      <c r="B65" s="6" t="s">
        <v>256</v>
      </c>
      <c r="C65" s="6" t="s">
        <v>300</v>
      </c>
      <c r="D65" s="6" t="s">
        <v>303</v>
      </c>
      <c r="E65" s="7">
        <v>1748.43</v>
      </c>
      <c r="F65" s="6">
        <v>8</v>
      </c>
      <c r="G65" s="8">
        <v>0.1</v>
      </c>
      <c r="H65" s="9" t="s">
        <v>364</v>
      </c>
      <c r="I65" s="6">
        <v>6</v>
      </c>
      <c r="J65" s="6">
        <v>443.52</v>
      </c>
      <c r="K65" s="9">
        <f t="shared" si="2"/>
        <v>46174</v>
      </c>
      <c r="L65" s="32">
        <f t="shared" ca="1" si="3"/>
        <v>46278.541162037036</v>
      </c>
    </row>
    <row r="66" spans="1:12" ht="13.5">
      <c r="A66" s="6" t="s">
        <v>74</v>
      </c>
      <c r="B66" s="6" t="s">
        <v>216</v>
      </c>
      <c r="C66" s="6" t="s">
        <v>301</v>
      </c>
      <c r="D66" s="6" t="s">
        <v>306</v>
      </c>
      <c r="E66" s="7">
        <v>1226.31</v>
      </c>
      <c r="F66" s="6">
        <v>9</v>
      </c>
      <c r="G66" s="8">
        <v>0.05</v>
      </c>
      <c r="H66" s="9" t="s">
        <v>315</v>
      </c>
      <c r="I66" s="6">
        <v>2</v>
      </c>
      <c r="J66" s="6">
        <v>429.79</v>
      </c>
      <c r="K66" s="9">
        <f t="shared" ref="K66:K97" si="4">EOMONTH(H66, -1) + 1</f>
        <v>46054</v>
      </c>
      <c r="L66" s="32">
        <f t="shared" ref="L66:L97" ca="1" si="5">NOW()</f>
        <v>46278.541162037036</v>
      </c>
    </row>
    <row r="67" spans="1:12" ht="13.5">
      <c r="A67" s="6" t="s">
        <v>75</v>
      </c>
      <c r="B67" s="6" t="s">
        <v>250</v>
      </c>
      <c r="C67" s="6" t="s">
        <v>302</v>
      </c>
      <c r="D67" s="6" t="s">
        <v>303</v>
      </c>
      <c r="E67" s="7">
        <v>1714.52</v>
      </c>
      <c r="F67" s="6">
        <v>8</v>
      </c>
      <c r="G67" s="8">
        <v>0.15</v>
      </c>
      <c r="H67" s="9" t="s">
        <v>337</v>
      </c>
      <c r="I67" s="6">
        <v>1</v>
      </c>
      <c r="J67" s="6">
        <v>468.33</v>
      </c>
      <c r="K67" s="9">
        <f t="shared" si="4"/>
        <v>46023</v>
      </c>
      <c r="L67" s="32">
        <f t="shared" ca="1" si="5"/>
        <v>46278.541162037036</v>
      </c>
    </row>
    <row r="68" spans="1:12" ht="13.5">
      <c r="A68" s="6" t="s">
        <v>76</v>
      </c>
      <c r="B68" s="6" t="s">
        <v>227</v>
      </c>
      <c r="C68" s="6" t="s">
        <v>301</v>
      </c>
      <c r="D68" s="6" t="s">
        <v>306</v>
      </c>
      <c r="E68" s="7">
        <v>591.72</v>
      </c>
      <c r="F68" s="6">
        <v>5</v>
      </c>
      <c r="G68" s="8">
        <v>0.15</v>
      </c>
      <c r="H68" s="9" t="s">
        <v>333</v>
      </c>
      <c r="I68" s="6">
        <v>2</v>
      </c>
      <c r="J68" s="6">
        <v>156.44999999999999</v>
      </c>
      <c r="K68" s="9">
        <f t="shared" si="4"/>
        <v>46054</v>
      </c>
      <c r="L68" s="32">
        <f t="shared" ca="1" si="5"/>
        <v>46278.541162037036</v>
      </c>
    </row>
    <row r="69" spans="1:12" ht="13.5">
      <c r="A69" s="6" t="s">
        <v>77</v>
      </c>
      <c r="B69" s="6" t="s">
        <v>257</v>
      </c>
      <c r="C69" s="6" t="s">
        <v>300</v>
      </c>
      <c r="D69" s="6" t="s">
        <v>305</v>
      </c>
      <c r="E69" s="7">
        <v>636.26</v>
      </c>
      <c r="F69" s="6">
        <v>3</v>
      </c>
      <c r="G69" s="8">
        <v>0</v>
      </c>
      <c r="H69" s="9" t="s">
        <v>318</v>
      </c>
      <c r="I69" s="6">
        <v>3</v>
      </c>
      <c r="J69" s="6">
        <v>216.64</v>
      </c>
      <c r="K69" s="9">
        <f t="shared" si="4"/>
        <v>46082</v>
      </c>
      <c r="L69" s="32">
        <f t="shared" ca="1" si="5"/>
        <v>46278.541162037036</v>
      </c>
    </row>
    <row r="70" spans="1:12" ht="13.5">
      <c r="A70" s="6" t="s">
        <v>78</v>
      </c>
      <c r="B70" s="6" t="s">
        <v>242</v>
      </c>
      <c r="C70" s="6" t="s">
        <v>301</v>
      </c>
      <c r="D70" s="6" t="s">
        <v>306</v>
      </c>
      <c r="E70" s="7">
        <v>1303.75</v>
      </c>
      <c r="F70" s="6">
        <v>10</v>
      </c>
      <c r="G70" s="8">
        <v>0.05</v>
      </c>
      <c r="H70" s="9" t="s">
        <v>365</v>
      </c>
      <c r="I70" s="6">
        <v>6</v>
      </c>
      <c r="J70" s="6">
        <v>321.89</v>
      </c>
      <c r="K70" s="9">
        <f t="shared" si="4"/>
        <v>46174</v>
      </c>
      <c r="L70" s="32">
        <f t="shared" ca="1" si="5"/>
        <v>46278.541162037036</v>
      </c>
    </row>
    <row r="71" spans="1:12" ht="13.5">
      <c r="A71" s="6" t="s">
        <v>79</v>
      </c>
      <c r="B71" s="6" t="s">
        <v>258</v>
      </c>
      <c r="C71" s="6" t="s">
        <v>302</v>
      </c>
      <c r="D71" s="6" t="s">
        <v>306</v>
      </c>
      <c r="E71" s="7">
        <v>979.41</v>
      </c>
      <c r="F71" s="6">
        <v>7</v>
      </c>
      <c r="G71" s="8">
        <v>0.15</v>
      </c>
      <c r="H71" s="9" t="s">
        <v>366</v>
      </c>
      <c r="I71" s="6">
        <v>6</v>
      </c>
      <c r="J71" s="6">
        <v>179.94</v>
      </c>
      <c r="K71" s="9">
        <f t="shared" si="4"/>
        <v>46174</v>
      </c>
      <c r="L71" s="32">
        <f t="shared" ca="1" si="5"/>
        <v>46278.541162037036</v>
      </c>
    </row>
    <row r="72" spans="1:12" ht="13.5">
      <c r="A72" s="6" t="s">
        <v>80</v>
      </c>
      <c r="B72" s="6" t="s">
        <v>259</v>
      </c>
      <c r="C72" s="6" t="s">
        <v>301</v>
      </c>
      <c r="D72" s="6" t="s">
        <v>305</v>
      </c>
      <c r="E72" s="7">
        <v>1349.69</v>
      </c>
      <c r="F72" s="6">
        <v>8</v>
      </c>
      <c r="G72" s="8">
        <v>0.2</v>
      </c>
      <c r="H72" s="9" t="s">
        <v>367</v>
      </c>
      <c r="I72" s="6">
        <v>5</v>
      </c>
      <c r="J72" s="6">
        <v>353.45</v>
      </c>
      <c r="K72" s="9">
        <f t="shared" si="4"/>
        <v>46143</v>
      </c>
      <c r="L72" s="32">
        <f t="shared" ca="1" si="5"/>
        <v>46278.541162037036</v>
      </c>
    </row>
    <row r="73" spans="1:12" ht="13.5">
      <c r="A73" s="6" t="s">
        <v>81</v>
      </c>
      <c r="B73" s="6" t="s">
        <v>260</v>
      </c>
      <c r="C73" s="6" t="s">
        <v>299</v>
      </c>
      <c r="D73" s="6" t="s">
        <v>304</v>
      </c>
      <c r="E73" s="7">
        <v>135.32</v>
      </c>
      <c r="F73" s="6">
        <v>2</v>
      </c>
      <c r="G73" s="8">
        <v>0.1</v>
      </c>
      <c r="H73" s="9" t="s">
        <v>368</v>
      </c>
      <c r="I73" s="6">
        <v>5</v>
      </c>
      <c r="J73" s="6">
        <v>42.22</v>
      </c>
      <c r="K73" s="9">
        <f t="shared" si="4"/>
        <v>46143</v>
      </c>
      <c r="L73" s="32">
        <f t="shared" ca="1" si="5"/>
        <v>46278.541162037036</v>
      </c>
    </row>
    <row r="74" spans="1:12" ht="13.5">
      <c r="A74" s="6" t="s">
        <v>82</v>
      </c>
      <c r="B74" s="6" t="s">
        <v>256</v>
      </c>
      <c r="C74" s="6" t="s">
        <v>301</v>
      </c>
      <c r="D74" s="6" t="s">
        <v>305</v>
      </c>
      <c r="E74" s="7">
        <v>1153.4100000000001</v>
      </c>
      <c r="F74" s="6">
        <v>8</v>
      </c>
      <c r="G74" s="8">
        <v>0.2</v>
      </c>
      <c r="H74" s="9" t="s">
        <v>369</v>
      </c>
      <c r="I74" s="6">
        <v>3</v>
      </c>
      <c r="J74" s="6">
        <v>315.36</v>
      </c>
      <c r="K74" s="9">
        <f t="shared" si="4"/>
        <v>46082</v>
      </c>
      <c r="L74" s="32">
        <f t="shared" ca="1" si="5"/>
        <v>46278.541162037036</v>
      </c>
    </row>
    <row r="75" spans="1:12" ht="13.5">
      <c r="A75" s="6" t="s">
        <v>83</v>
      </c>
      <c r="B75" s="6" t="s">
        <v>261</v>
      </c>
      <c r="C75" s="6" t="s">
        <v>299</v>
      </c>
      <c r="D75" s="6" t="s">
        <v>306</v>
      </c>
      <c r="E75" s="7">
        <v>861.1</v>
      </c>
      <c r="F75" s="6">
        <v>6</v>
      </c>
      <c r="G75" s="8">
        <v>0.1</v>
      </c>
      <c r="H75" s="9" t="s">
        <v>370</v>
      </c>
      <c r="I75" s="6">
        <v>4</v>
      </c>
      <c r="J75" s="6">
        <v>286.44</v>
      </c>
      <c r="K75" s="9">
        <f t="shared" si="4"/>
        <v>46113</v>
      </c>
      <c r="L75" s="32">
        <f t="shared" ca="1" si="5"/>
        <v>46278.541162037036</v>
      </c>
    </row>
    <row r="76" spans="1:12" ht="13.5">
      <c r="A76" s="6" t="s">
        <v>84</v>
      </c>
      <c r="B76" s="6" t="s">
        <v>238</v>
      </c>
      <c r="C76" s="6" t="s">
        <v>301</v>
      </c>
      <c r="D76" s="6" t="s">
        <v>305</v>
      </c>
      <c r="E76" s="7">
        <v>1312.13</v>
      </c>
      <c r="F76" s="6">
        <v>7</v>
      </c>
      <c r="G76" s="8">
        <v>0.1</v>
      </c>
      <c r="H76" s="9" t="s">
        <v>316</v>
      </c>
      <c r="I76" s="6">
        <v>6</v>
      </c>
      <c r="J76" s="6">
        <v>331.01</v>
      </c>
      <c r="K76" s="9">
        <f t="shared" si="4"/>
        <v>46174</v>
      </c>
      <c r="L76" s="32">
        <f t="shared" ca="1" si="5"/>
        <v>46278.541162037036</v>
      </c>
    </row>
    <row r="77" spans="1:12" ht="13.5">
      <c r="A77" s="6" t="s">
        <v>85</v>
      </c>
      <c r="B77" s="6" t="s">
        <v>252</v>
      </c>
      <c r="C77" s="6" t="s">
        <v>302</v>
      </c>
      <c r="D77" s="6" t="s">
        <v>306</v>
      </c>
      <c r="E77" s="7">
        <v>941.22</v>
      </c>
      <c r="F77" s="6">
        <v>6</v>
      </c>
      <c r="G77" s="8">
        <v>0</v>
      </c>
      <c r="H77" s="9" t="s">
        <v>371</v>
      </c>
      <c r="I77" s="6">
        <v>5</v>
      </c>
      <c r="J77" s="6">
        <v>282.64999999999998</v>
      </c>
      <c r="K77" s="9">
        <f t="shared" si="4"/>
        <v>46143</v>
      </c>
      <c r="L77" s="32">
        <f t="shared" ca="1" si="5"/>
        <v>46278.541162037036</v>
      </c>
    </row>
    <row r="78" spans="1:12" ht="13.5">
      <c r="A78" s="6" t="s">
        <v>86</v>
      </c>
      <c r="B78" s="6" t="s">
        <v>262</v>
      </c>
      <c r="C78" s="6" t="s">
        <v>298</v>
      </c>
      <c r="D78" s="6" t="s">
        <v>304</v>
      </c>
      <c r="E78" s="7">
        <v>430.14</v>
      </c>
      <c r="F78" s="6">
        <v>6</v>
      </c>
      <c r="G78" s="8">
        <v>0.15</v>
      </c>
      <c r="H78" s="9" t="s">
        <v>372</v>
      </c>
      <c r="I78" s="6">
        <v>3</v>
      </c>
      <c r="J78" s="6">
        <v>122.44</v>
      </c>
      <c r="K78" s="9">
        <f t="shared" si="4"/>
        <v>46082</v>
      </c>
      <c r="L78" s="32">
        <f t="shared" ca="1" si="5"/>
        <v>46278.541162037036</v>
      </c>
    </row>
    <row r="79" spans="1:12" ht="13.5">
      <c r="A79" s="6" t="s">
        <v>87</v>
      </c>
      <c r="B79" s="6" t="s">
        <v>263</v>
      </c>
      <c r="C79" s="6" t="s">
        <v>298</v>
      </c>
      <c r="D79" s="6" t="s">
        <v>304</v>
      </c>
      <c r="E79" s="7">
        <v>131.72999999999999</v>
      </c>
      <c r="F79" s="6">
        <v>2</v>
      </c>
      <c r="G79" s="8">
        <v>0.1</v>
      </c>
      <c r="H79" s="9" t="s">
        <v>373</v>
      </c>
      <c r="I79" s="6">
        <v>4</v>
      </c>
      <c r="J79" s="6">
        <v>36.880000000000003</v>
      </c>
      <c r="K79" s="9">
        <f t="shared" si="4"/>
        <v>46113</v>
      </c>
      <c r="L79" s="32">
        <f t="shared" ca="1" si="5"/>
        <v>46278.541162037036</v>
      </c>
    </row>
    <row r="80" spans="1:12" ht="13.5">
      <c r="A80" s="6" t="s">
        <v>88</v>
      </c>
      <c r="B80" s="6" t="s">
        <v>264</v>
      </c>
      <c r="C80" s="6" t="s">
        <v>299</v>
      </c>
      <c r="D80" s="6" t="s">
        <v>306</v>
      </c>
      <c r="E80" s="7">
        <v>437.26</v>
      </c>
      <c r="F80" s="6">
        <v>3</v>
      </c>
      <c r="G80" s="8">
        <v>0</v>
      </c>
      <c r="H80" s="9" t="s">
        <v>374</v>
      </c>
      <c r="I80" s="6">
        <v>5</v>
      </c>
      <c r="J80" s="6">
        <v>148.84</v>
      </c>
      <c r="K80" s="9">
        <f t="shared" si="4"/>
        <v>46143</v>
      </c>
      <c r="L80" s="32">
        <f t="shared" ca="1" si="5"/>
        <v>46278.541162037036</v>
      </c>
    </row>
    <row r="81" spans="1:12" ht="13.5">
      <c r="A81" s="6" t="s">
        <v>89</v>
      </c>
      <c r="B81" s="6" t="s">
        <v>229</v>
      </c>
      <c r="C81" s="6" t="s">
        <v>299</v>
      </c>
      <c r="D81" s="6" t="s">
        <v>304</v>
      </c>
      <c r="E81" s="7">
        <v>354.5</v>
      </c>
      <c r="F81" s="6">
        <v>6</v>
      </c>
      <c r="G81" s="8">
        <v>0.2</v>
      </c>
      <c r="H81" s="9" t="s">
        <v>375</v>
      </c>
      <c r="I81" s="6">
        <v>6</v>
      </c>
      <c r="J81" s="6">
        <v>91.87</v>
      </c>
      <c r="K81" s="9">
        <f t="shared" si="4"/>
        <v>46174</v>
      </c>
      <c r="L81" s="32">
        <f t="shared" ca="1" si="5"/>
        <v>46278.541162037036</v>
      </c>
    </row>
    <row r="82" spans="1:12" ht="13.5">
      <c r="A82" s="6" t="s">
        <v>90</v>
      </c>
      <c r="B82" s="6" t="s">
        <v>211</v>
      </c>
      <c r="C82" s="6" t="s">
        <v>298</v>
      </c>
      <c r="D82" s="6" t="s">
        <v>305</v>
      </c>
      <c r="E82" s="7">
        <v>1501.67</v>
      </c>
      <c r="F82" s="6">
        <v>7</v>
      </c>
      <c r="G82" s="8">
        <v>0</v>
      </c>
      <c r="H82" s="9" t="s">
        <v>376</v>
      </c>
      <c r="I82" s="6">
        <v>4</v>
      </c>
      <c r="J82" s="6">
        <v>567.63</v>
      </c>
      <c r="K82" s="9">
        <f t="shared" si="4"/>
        <v>46113</v>
      </c>
      <c r="L82" s="32">
        <f t="shared" ca="1" si="5"/>
        <v>46278.541162037036</v>
      </c>
    </row>
    <row r="83" spans="1:12" ht="13.5">
      <c r="A83" s="6" t="s">
        <v>91</v>
      </c>
      <c r="B83" s="6" t="s">
        <v>234</v>
      </c>
      <c r="C83" s="6" t="s">
        <v>302</v>
      </c>
      <c r="D83" s="6" t="s">
        <v>304</v>
      </c>
      <c r="E83" s="7">
        <v>524.63</v>
      </c>
      <c r="F83" s="6">
        <v>8</v>
      </c>
      <c r="G83" s="8">
        <v>0.2</v>
      </c>
      <c r="H83" s="9" t="s">
        <v>377</v>
      </c>
      <c r="I83" s="6">
        <v>1</v>
      </c>
      <c r="J83" s="6">
        <v>87.93</v>
      </c>
      <c r="K83" s="9">
        <f t="shared" si="4"/>
        <v>46023</v>
      </c>
      <c r="L83" s="32">
        <f t="shared" ca="1" si="5"/>
        <v>46278.541162037036</v>
      </c>
    </row>
    <row r="84" spans="1:12" ht="13.5">
      <c r="A84" s="6" t="s">
        <v>92</v>
      </c>
      <c r="B84" s="6" t="s">
        <v>265</v>
      </c>
      <c r="C84" s="6" t="s">
        <v>302</v>
      </c>
      <c r="D84" s="6" t="s">
        <v>303</v>
      </c>
      <c r="E84" s="7">
        <v>1026.57</v>
      </c>
      <c r="F84" s="6">
        <v>5</v>
      </c>
      <c r="G84" s="8">
        <v>0.15</v>
      </c>
      <c r="H84" s="9" t="s">
        <v>378</v>
      </c>
      <c r="I84" s="6">
        <v>6</v>
      </c>
      <c r="J84" s="6">
        <v>205.43</v>
      </c>
      <c r="K84" s="9">
        <f t="shared" si="4"/>
        <v>46174</v>
      </c>
      <c r="L84" s="32">
        <f t="shared" ca="1" si="5"/>
        <v>46278.541162037036</v>
      </c>
    </row>
    <row r="85" spans="1:12" ht="13.5">
      <c r="A85" s="6" t="s">
        <v>93</v>
      </c>
      <c r="B85" s="6" t="s">
        <v>266</v>
      </c>
      <c r="C85" s="6" t="s">
        <v>301</v>
      </c>
      <c r="D85" s="6" t="s">
        <v>304</v>
      </c>
      <c r="E85" s="7">
        <v>460.01</v>
      </c>
      <c r="F85" s="6">
        <v>7</v>
      </c>
      <c r="G85" s="8">
        <v>0.1</v>
      </c>
      <c r="H85" s="9" t="s">
        <v>336</v>
      </c>
      <c r="I85" s="6">
        <v>1</v>
      </c>
      <c r="J85" s="6">
        <v>77.650000000000006</v>
      </c>
      <c r="K85" s="9">
        <f t="shared" si="4"/>
        <v>46023</v>
      </c>
      <c r="L85" s="32">
        <f t="shared" ca="1" si="5"/>
        <v>46278.541162037036</v>
      </c>
    </row>
    <row r="86" spans="1:12" ht="13.5">
      <c r="A86" s="6" t="s">
        <v>94</v>
      </c>
      <c r="B86" s="6" t="s">
        <v>213</v>
      </c>
      <c r="C86" s="6" t="s">
        <v>299</v>
      </c>
      <c r="D86" s="6" t="s">
        <v>303</v>
      </c>
      <c r="E86" s="7">
        <v>2056.69</v>
      </c>
      <c r="F86" s="6">
        <v>9</v>
      </c>
      <c r="G86" s="8">
        <v>0.05</v>
      </c>
      <c r="H86" s="9" t="s">
        <v>379</v>
      </c>
      <c r="I86" s="6">
        <v>6</v>
      </c>
      <c r="J86" s="6">
        <v>597.79</v>
      </c>
      <c r="K86" s="9">
        <f t="shared" si="4"/>
        <v>46174</v>
      </c>
      <c r="L86" s="32">
        <f t="shared" ca="1" si="5"/>
        <v>46278.541162037036</v>
      </c>
    </row>
    <row r="87" spans="1:12" ht="13.5">
      <c r="A87" s="6" t="s">
        <v>95</v>
      </c>
      <c r="B87" s="6" t="s">
        <v>254</v>
      </c>
      <c r="C87" s="6" t="s">
        <v>302</v>
      </c>
      <c r="D87" s="6" t="s">
        <v>305</v>
      </c>
      <c r="E87" s="7">
        <v>154.41</v>
      </c>
      <c r="F87" s="6">
        <v>1</v>
      </c>
      <c r="G87" s="8">
        <v>0.2</v>
      </c>
      <c r="H87" s="9" t="s">
        <v>380</v>
      </c>
      <c r="I87" s="6">
        <v>6</v>
      </c>
      <c r="J87" s="6">
        <v>16.55</v>
      </c>
      <c r="K87" s="9">
        <f t="shared" si="4"/>
        <v>46174</v>
      </c>
      <c r="L87" s="32">
        <f t="shared" ca="1" si="5"/>
        <v>46278.541162037036</v>
      </c>
    </row>
    <row r="88" spans="1:12" ht="13.5">
      <c r="A88" s="6" t="s">
        <v>96</v>
      </c>
      <c r="B88" s="6" t="s">
        <v>231</v>
      </c>
      <c r="C88" s="6" t="s">
        <v>300</v>
      </c>
      <c r="D88" s="6" t="s">
        <v>304</v>
      </c>
      <c r="E88" s="7">
        <v>602.45000000000005</v>
      </c>
      <c r="F88" s="6">
        <v>8</v>
      </c>
      <c r="G88" s="8">
        <v>0.1</v>
      </c>
      <c r="H88" s="9" t="s">
        <v>309</v>
      </c>
      <c r="I88" s="6">
        <v>5</v>
      </c>
      <c r="J88" s="6">
        <v>146.47</v>
      </c>
      <c r="K88" s="9">
        <f t="shared" si="4"/>
        <v>46143</v>
      </c>
      <c r="L88" s="32">
        <f t="shared" ca="1" si="5"/>
        <v>46278.541162037036</v>
      </c>
    </row>
    <row r="89" spans="1:12" ht="13.5">
      <c r="A89" s="6" t="s">
        <v>97</v>
      </c>
      <c r="B89" s="6" t="s">
        <v>267</v>
      </c>
      <c r="C89" s="6" t="s">
        <v>301</v>
      </c>
      <c r="D89" s="6" t="s">
        <v>304</v>
      </c>
      <c r="E89" s="7">
        <v>156.18</v>
      </c>
      <c r="F89" s="6">
        <v>2</v>
      </c>
      <c r="G89" s="8">
        <v>0.05</v>
      </c>
      <c r="H89" s="9" t="s">
        <v>312</v>
      </c>
      <c r="I89" s="6">
        <v>2</v>
      </c>
      <c r="J89" s="6">
        <v>44.28</v>
      </c>
      <c r="K89" s="9">
        <f t="shared" si="4"/>
        <v>46054</v>
      </c>
      <c r="L89" s="32">
        <f t="shared" ca="1" si="5"/>
        <v>46278.541162037036</v>
      </c>
    </row>
    <row r="90" spans="1:12" ht="13.5">
      <c r="A90" s="6" t="s">
        <v>98</v>
      </c>
      <c r="B90" s="6" t="s">
        <v>218</v>
      </c>
      <c r="C90" s="6" t="s">
        <v>301</v>
      </c>
      <c r="D90" s="6" t="s">
        <v>304</v>
      </c>
      <c r="E90" s="7">
        <v>491.31</v>
      </c>
      <c r="F90" s="6">
        <v>6</v>
      </c>
      <c r="G90" s="8">
        <v>0.05</v>
      </c>
      <c r="H90" s="9" t="s">
        <v>376</v>
      </c>
      <c r="I90" s="6">
        <v>4</v>
      </c>
      <c r="J90" s="6">
        <v>114.14</v>
      </c>
      <c r="K90" s="9">
        <f t="shared" si="4"/>
        <v>46113</v>
      </c>
      <c r="L90" s="32">
        <f t="shared" ca="1" si="5"/>
        <v>46278.541162037036</v>
      </c>
    </row>
    <row r="91" spans="1:12" ht="13.5">
      <c r="A91" s="6" t="s">
        <v>99</v>
      </c>
      <c r="B91" s="6" t="s">
        <v>221</v>
      </c>
      <c r="C91" s="6" t="s">
        <v>298</v>
      </c>
      <c r="D91" s="6" t="s">
        <v>305</v>
      </c>
      <c r="E91" s="7">
        <v>795.55</v>
      </c>
      <c r="F91" s="6">
        <v>5</v>
      </c>
      <c r="G91" s="8">
        <v>0.2</v>
      </c>
      <c r="H91" s="9" t="s">
        <v>344</v>
      </c>
      <c r="I91" s="6">
        <v>4</v>
      </c>
      <c r="J91" s="6">
        <v>173.56</v>
      </c>
      <c r="K91" s="9">
        <f t="shared" si="4"/>
        <v>46113</v>
      </c>
      <c r="L91" s="32">
        <f t="shared" ca="1" si="5"/>
        <v>46278.541162037036</v>
      </c>
    </row>
    <row r="92" spans="1:12" ht="13.5">
      <c r="A92" s="6" t="s">
        <v>100</v>
      </c>
      <c r="B92" s="6" t="s">
        <v>241</v>
      </c>
      <c r="C92" s="6" t="s">
        <v>299</v>
      </c>
      <c r="D92" s="6" t="s">
        <v>305</v>
      </c>
      <c r="E92" s="7">
        <v>997.83</v>
      </c>
      <c r="F92" s="6">
        <v>6</v>
      </c>
      <c r="G92" s="8">
        <v>0.1</v>
      </c>
      <c r="H92" s="9" t="s">
        <v>381</v>
      </c>
      <c r="I92" s="6">
        <v>2</v>
      </c>
      <c r="J92" s="6">
        <v>155.76</v>
      </c>
      <c r="K92" s="9">
        <f t="shared" si="4"/>
        <v>46054</v>
      </c>
      <c r="L92" s="32">
        <f t="shared" ca="1" si="5"/>
        <v>46278.541162037036</v>
      </c>
    </row>
    <row r="93" spans="1:12" ht="13.5">
      <c r="A93" s="6" t="s">
        <v>101</v>
      </c>
      <c r="B93" s="6" t="s">
        <v>257</v>
      </c>
      <c r="C93" s="6" t="s">
        <v>302</v>
      </c>
      <c r="D93" s="6" t="s">
        <v>303</v>
      </c>
      <c r="E93" s="7">
        <v>495.26</v>
      </c>
      <c r="F93" s="6">
        <v>2</v>
      </c>
      <c r="G93" s="8">
        <v>0.05</v>
      </c>
      <c r="H93" s="9" t="s">
        <v>382</v>
      </c>
      <c r="I93" s="6">
        <v>4</v>
      </c>
      <c r="J93" s="6">
        <v>90.37</v>
      </c>
      <c r="K93" s="9">
        <f t="shared" si="4"/>
        <v>46113</v>
      </c>
      <c r="L93" s="32">
        <f t="shared" ca="1" si="5"/>
        <v>46278.541162037036</v>
      </c>
    </row>
    <row r="94" spans="1:12" ht="13.5">
      <c r="A94" s="6" t="s">
        <v>102</v>
      </c>
      <c r="B94" s="6" t="s">
        <v>268</v>
      </c>
      <c r="C94" s="6" t="s">
        <v>302</v>
      </c>
      <c r="D94" s="6" t="s">
        <v>306</v>
      </c>
      <c r="E94" s="7">
        <v>1104.76</v>
      </c>
      <c r="F94" s="6">
        <v>7</v>
      </c>
      <c r="G94" s="8">
        <v>0</v>
      </c>
      <c r="H94" s="9" t="s">
        <v>383</v>
      </c>
      <c r="I94" s="6">
        <v>3</v>
      </c>
      <c r="J94" s="6">
        <v>402.71</v>
      </c>
      <c r="K94" s="9">
        <f t="shared" si="4"/>
        <v>46082</v>
      </c>
      <c r="L94" s="32">
        <f t="shared" ca="1" si="5"/>
        <v>46278.541162037036</v>
      </c>
    </row>
    <row r="95" spans="1:12" ht="13.5">
      <c r="A95" s="6" t="s">
        <v>103</v>
      </c>
      <c r="B95" s="6" t="s">
        <v>269</v>
      </c>
      <c r="C95" s="6" t="s">
        <v>301</v>
      </c>
      <c r="D95" s="6" t="s">
        <v>305</v>
      </c>
      <c r="E95" s="7">
        <v>1822.06</v>
      </c>
      <c r="F95" s="6">
        <v>9</v>
      </c>
      <c r="G95" s="8">
        <v>0</v>
      </c>
      <c r="H95" s="9" t="s">
        <v>373</v>
      </c>
      <c r="I95" s="6">
        <v>4</v>
      </c>
      <c r="J95" s="6">
        <v>495.67</v>
      </c>
      <c r="K95" s="9">
        <f t="shared" si="4"/>
        <v>46113</v>
      </c>
      <c r="L95" s="32">
        <f t="shared" ca="1" si="5"/>
        <v>46278.541162037036</v>
      </c>
    </row>
    <row r="96" spans="1:12" ht="13.5">
      <c r="A96" s="6" t="s">
        <v>104</v>
      </c>
      <c r="B96" s="6" t="s">
        <v>270</v>
      </c>
      <c r="C96" s="6" t="s">
        <v>299</v>
      </c>
      <c r="D96" s="6" t="s">
        <v>304</v>
      </c>
      <c r="E96" s="7">
        <v>75.900000000000006</v>
      </c>
      <c r="F96" s="6">
        <v>1</v>
      </c>
      <c r="G96" s="8">
        <v>0.1</v>
      </c>
      <c r="H96" s="9" t="s">
        <v>357</v>
      </c>
      <c r="I96" s="6">
        <v>4</v>
      </c>
      <c r="J96" s="6">
        <v>13.31</v>
      </c>
      <c r="K96" s="9">
        <f t="shared" si="4"/>
        <v>46113</v>
      </c>
      <c r="L96" s="32">
        <f t="shared" ca="1" si="5"/>
        <v>46278.541162037036</v>
      </c>
    </row>
    <row r="97" spans="1:12" ht="13.5">
      <c r="A97" s="6" t="s">
        <v>105</v>
      </c>
      <c r="B97" s="6" t="s">
        <v>233</v>
      </c>
      <c r="C97" s="6" t="s">
        <v>299</v>
      </c>
      <c r="D97" s="6" t="s">
        <v>303</v>
      </c>
      <c r="E97" s="7">
        <v>1910.13</v>
      </c>
      <c r="F97" s="6">
        <v>9</v>
      </c>
      <c r="G97" s="8">
        <v>0.15</v>
      </c>
      <c r="H97" s="9" t="s">
        <v>384</v>
      </c>
      <c r="I97" s="6">
        <v>4</v>
      </c>
      <c r="J97" s="6">
        <v>438.28</v>
      </c>
      <c r="K97" s="9">
        <f t="shared" si="4"/>
        <v>46113</v>
      </c>
      <c r="L97" s="32">
        <f t="shared" ca="1" si="5"/>
        <v>46278.541162037036</v>
      </c>
    </row>
    <row r="98" spans="1:12" ht="13.5">
      <c r="A98" s="6" t="s">
        <v>106</v>
      </c>
      <c r="B98" s="6" t="s">
        <v>243</v>
      </c>
      <c r="C98" s="6" t="s">
        <v>299</v>
      </c>
      <c r="D98" s="6" t="s">
        <v>304</v>
      </c>
      <c r="E98" s="7">
        <v>642.91</v>
      </c>
      <c r="F98" s="6">
        <v>8</v>
      </c>
      <c r="G98" s="8">
        <v>0</v>
      </c>
      <c r="H98" s="9" t="s">
        <v>385</v>
      </c>
      <c r="I98" s="6">
        <v>1</v>
      </c>
      <c r="J98" s="6">
        <v>227.59</v>
      </c>
      <c r="K98" s="9">
        <f t="shared" ref="K98:K129" si="6">EOMONTH(H98, -1) + 1</f>
        <v>46023</v>
      </c>
      <c r="L98" s="32">
        <f t="shared" ref="L98:L129" ca="1" si="7">NOW()</f>
        <v>46278.541162037036</v>
      </c>
    </row>
    <row r="99" spans="1:12" ht="13.5">
      <c r="A99" s="6" t="s">
        <v>107</v>
      </c>
      <c r="B99" s="6" t="s">
        <v>271</v>
      </c>
      <c r="C99" s="6" t="s">
        <v>298</v>
      </c>
      <c r="D99" s="6" t="s">
        <v>304</v>
      </c>
      <c r="E99" s="7">
        <v>441.51</v>
      </c>
      <c r="F99" s="6">
        <v>7</v>
      </c>
      <c r="G99" s="8">
        <v>0.2</v>
      </c>
      <c r="H99" s="9" t="s">
        <v>386</v>
      </c>
      <c r="I99" s="6">
        <v>3</v>
      </c>
      <c r="J99" s="6">
        <v>63.21</v>
      </c>
      <c r="K99" s="9">
        <f t="shared" si="6"/>
        <v>46082</v>
      </c>
      <c r="L99" s="32">
        <f t="shared" ca="1" si="7"/>
        <v>46278.541162037036</v>
      </c>
    </row>
    <row r="100" spans="1:12" ht="13.5">
      <c r="A100" s="6" t="s">
        <v>108</v>
      </c>
      <c r="B100" s="6" t="s">
        <v>246</v>
      </c>
      <c r="C100" s="6" t="s">
        <v>302</v>
      </c>
      <c r="D100" s="6" t="s">
        <v>305</v>
      </c>
      <c r="E100" s="7">
        <v>162.91999999999999</v>
      </c>
      <c r="F100" s="6">
        <v>1</v>
      </c>
      <c r="G100" s="8">
        <v>0.1</v>
      </c>
      <c r="H100" s="9" t="s">
        <v>358</v>
      </c>
      <c r="I100" s="6">
        <v>4</v>
      </c>
      <c r="J100" s="6">
        <v>44.73</v>
      </c>
      <c r="K100" s="9">
        <f t="shared" si="6"/>
        <v>46113</v>
      </c>
      <c r="L100" s="32">
        <f t="shared" ca="1" si="7"/>
        <v>46278.541162037036</v>
      </c>
    </row>
    <row r="101" spans="1:12" ht="13.5">
      <c r="A101" s="6" t="s">
        <v>109</v>
      </c>
      <c r="B101" s="6" t="s">
        <v>244</v>
      </c>
      <c r="C101" s="6" t="s">
        <v>299</v>
      </c>
      <c r="D101" s="6" t="s">
        <v>306</v>
      </c>
      <c r="E101" s="7">
        <v>525.29999999999995</v>
      </c>
      <c r="F101" s="6">
        <v>4</v>
      </c>
      <c r="G101" s="8">
        <v>0.05</v>
      </c>
      <c r="H101" s="9" t="s">
        <v>386</v>
      </c>
      <c r="I101" s="6">
        <v>3</v>
      </c>
      <c r="J101" s="6">
        <v>100.89</v>
      </c>
      <c r="K101" s="9">
        <f t="shared" si="6"/>
        <v>46082</v>
      </c>
      <c r="L101" s="32">
        <f t="shared" ca="1" si="7"/>
        <v>46278.541162037036</v>
      </c>
    </row>
    <row r="102" spans="1:12" ht="13.5">
      <c r="A102" s="6" t="s">
        <v>110</v>
      </c>
      <c r="B102" s="6" t="s">
        <v>210</v>
      </c>
      <c r="C102" s="6" t="s">
        <v>298</v>
      </c>
      <c r="D102" s="6" t="s">
        <v>304</v>
      </c>
      <c r="E102" s="7">
        <v>652.53</v>
      </c>
      <c r="F102" s="6">
        <v>9</v>
      </c>
      <c r="G102" s="8">
        <v>0</v>
      </c>
      <c r="H102" s="9" t="s">
        <v>387</v>
      </c>
      <c r="I102" s="6">
        <v>6</v>
      </c>
      <c r="J102" s="6">
        <v>137.25</v>
      </c>
      <c r="K102" s="9">
        <f t="shared" si="6"/>
        <v>46174</v>
      </c>
      <c r="L102" s="32">
        <f t="shared" ca="1" si="7"/>
        <v>46278.541162037036</v>
      </c>
    </row>
    <row r="103" spans="1:12" ht="13.5">
      <c r="A103" s="6" t="s">
        <v>111</v>
      </c>
      <c r="B103" s="6" t="s">
        <v>233</v>
      </c>
      <c r="C103" s="6" t="s">
        <v>300</v>
      </c>
      <c r="D103" s="6" t="s">
        <v>305</v>
      </c>
      <c r="E103" s="7">
        <v>1109.46</v>
      </c>
      <c r="F103" s="6">
        <v>6</v>
      </c>
      <c r="G103" s="8">
        <v>0.1</v>
      </c>
      <c r="H103" s="9" t="s">
        <v>388</v>
      </c>
      <c r="I103" s="6">
        <v>3</v>
      </c>
      <c r="J103" s="6">
        <v>284.32</v>
      </c>
      <c r="K103" s="9">
        <f t="shared" si="6"/>
        <v>46082</v>
      </c>
      <c r="L103" s="32">
        <f t="shared" ca="1" si="7"/>
        <v>46278.541162037036</v>
      </c>
    </row>
    <row r="104" spans="1:12" ht="13.5">
      <c r="A104" s="6" t="s">
        <v>112</v>
      </c>
      <c r="B104" s="6" t="s">
        <v>272</v>
      </c>
      <c r="C104" s="6" t="s">
        <v>301</v>
      </c>
      <c r="D104" s="6" t="s">
        <v>303</v>
      </c>
      <c r="E104" s="7">
        <v>2166.46</v>
      </c>
      <c r="F104" s="6">
        <v>10</v>
      </c>
      <c r="G104" s="8">
        <v>0.1</v>
      </c>
      <c r="H104" s="9" t="s">
        <v>389</v>
      </c>
      <c r="I104" s="6">
        <v>4</v>
      </c>
      <c r="J104" s="6">
        <v>559.22</v>
      </c>
      <c r="K104" s="9">
        <f t="shared" si="6"/>
        <v>46113</v>
      </c>
      <c r="L104" s="32">
        <f t="shared" ca="1" si="7"/>
        <v>46278.541162037036</v>
      </c>
    </row>
    <row r="105" spans="1:12" ht="13.5">
      <c r="A105" s="6" t="s">
        <v>113</v>
      </c>
      <c r="B105" s="6" t="s">
        <v>213</v>
      </c>
      <c r="C105" s="6" t="s">
        <v>302</v>
      </c>
      <c r="D105" s="6" t="s">
        <v>304</v>
      </c>
      <c r="E105" s="7">
        <v>544.92999999999995</v>
      </c>
      <c r="F105" s="6">
        <v>8</v>
      </c>
      <c r="G105" s="8">
        <v>0.15</v>
      </c>
      <c r="H105" s="9" t="s">
        <v>390</v>
      </c>
      <c r="I105" s="6">
        <v>2</v>
      </c>
      <c r="J105" s="6">
        <v>137.59</v>
      </c>
      <c r="K105" s="9">
        <f t="shared" si="6"/>
        <v>46054</v>
      </c>
      <c r="L105" s="32">
        <f t="shared" ca="1" si="7"/>
        <v>46278.541162037036</v>
      </c>
    </row>
    <row r="106" spans="1:12" ht="13.5">
      <c r="A106" s="6" t="s">
        <v>114</v>
      </c>
      <c r="B106" s="6" t="s">
        <v>273</v>
      </c>
      <c r="C106" s="6" t="s">
        <v>302</v>
      </c>
      <c r="D106" s="6" t="s">
        <v>303</v>
      </c>
      <c r="E106" s="7">
        <v>2054.88</v>
      </c>
      <c r="F106" s="6">
        <v>8</v>
      </c>
      <c r="G106" s="8">
        <v>0.05</v>
      </c>
      <c r="H106" s="9" t="s">
        <v>359</v>
      </c>
      <c r="I106" s="6">
        <v>6</v>
      </c>
      <c r="J106" s="6">
        <v>658.01</v>
      </c>
      <c r="K106" s="9">
        <f t="shared" si="6"/>
        <v>46174</v>
      </c>
      <c r="L106" s="32">
        <f t="shared" ca="1" si="7"/>
        <v>46278.541162037036</v>
      </c>
    </row>
    <row r="107" spans="1:12" ht="13.5">
      <c r="A107" s="6" t="s">
        <v>115</v>
      </c>
      <c r="B107" s="6" t="s">
        <v>274</v>
      </c>
      <c r="C107" s="6" t="s">
        <v>301</v>
      </c>
      <c r="D107" s="6" t="s">
        <v>305</v>
      </c>
      <c r="E107" s="7">
        <v>180.47</v>
      </c>
      <c r="F107" s="6">
        <v>1</v>
      </c>
      <c r="G107" s="8">
        <v>0.05</v>
      </c>
      <c r="H107" s="9" t="s">
        <v>338</v>
      </c>
      <c r="I107" s="6">
        <v>5</v>
      </c>
      <c r="J107" s="6">
        <v>66.8</v>
      </c>
      <c r="K107" s="9">
        <f t="shared" si="6"/>
        <v>46143</v>
      </c>
      <c r="L107" s="32">
        <f t="shared" ca="1" si="7"/>
        <v>46278.541162037036</v>
      </c>
    </row>
    <row r="108" spans="1:12" ht="13.5">
      <c r="A108" s="6" t="s">
        <v>116</v>
      </c>
      <c r="B108" s="6" t="s">
        <v>259</v>
      </c>
      <c r="C108" s="6" t="s">
        <v>300</v>
      </c>
      <c r="D108" s="6" t="s">
        <v>305</v>
      </c>
      <c r="E108" s="7">
        <v>746.38</v>
      </c>
      <c r="F108" s="6">
        <v>4</v>
      </c>
      <c r="G108" s="8">
        <v>0.05</v>
      </c>
      <c r="H108" s="9" t="s">
        <v>308</v>
      </c>
      <c r="I108" s="6">
        <v>1</v>
      </c>
      <c r="J108" s="6">
        <v>207.69</v>
      </c>
      <c r="K108" s="9">
        <f t="shared" si="6"/>
        <v>46023</v>
      </c>
      <c r="L108" s="32">
        <f t="shared" ca="1" si="7"/>
        <v>46278.541162037036</v>
      </c>
    </row>
    <row r="109" spans="1:12" ht="13.5">
      <c r="A109" s="6" t="s">
        <v>117</v>
      </c>
      <c r="B109" s="6" t="s">
        <v>275</v>
      </c>
      <c r="C109" s="6" t="s">
        <v>298</v>
      </c>
      <c r="D109" s="6" t="s">
        <v>305</v>
      </c>
      <c r="E109" s="7">
        <v>840.89</v>
      </c>
      <c r="F109" s="6">
        <v>5</v>
      </c>
      <c r="G109" s="8">
        <v>0.2</v>
      </c>
      <c r="H109" s="9" t="s">
        <v>391</v>
      </c>
      <c r="I109" s="6">
        <v>1</v>
      </c>
      <c r="J109" s="6">
        <v>138.4</v>
      </c>
      <c r="K109" s="9">
        <f t="shared" si="6"/>
        <v>46023</v>
      </c>
      <c r="L109" s="32">
        <f t="shared" ca="1" si="7"/>
        <v>46278.541162037036</v>
      </c>
    </row>
    <row r="110" spans="1:12" ht="13.5">
      <c r="A110" s="6" t="s">
        <v>118</v>
      </c>
      <c r="B110" s="6" t="s">
        <v>274</v>
      </c>
      <c r="C110" s="6" t="s">
        <v>301</v>
      </c>
      <c r="D110" s="6" t="s">
        <v>305</v>
      </c>
      <c r="E110" s="7">
        <v>1532.13</v>
      </c>
      <c r="F110" s="6">
        <v>9</v>
      </c>
      <c r="G110" s="8">
        <v>0.1</v>
      </c>
      <c r="H110" s="9" t="s">
        <v>392</v>
      </c>
      <c r="I110" s="6">
        <v>1</v>
      </c>
      <c r="J110" s="6">
        <v>473.49</v>
      </c>
      <c r="K110" s="9">
        <f t="shared" si="6"/>
        <v>46023</v>
      </c>
      <c r="L110" s="32">
        <f t="shared" ca="1" si="7"/>
        <v>46278.541162037036</v>
      </c>
    </row>
    <row r="111" spans="1:12" ht="13.5">
      <c r="A111" s="6" t="s">
        <v>119</v>
      </c>
      <c r="B111" s="6" t="s">
        <v>247</v>
      </c>
      <c r="C111" s="6" t="s">
        <v>298</v>
      </c>
      <c r="D111" s="6" t="s">
        <v>305</v>
      </c>
      <c r="E111" s="7">
        <v>439.39</v>
      </c>
      <c r="F111" s="6">
        <v>3</v>
      </c>
      <c r="G111" s="8">
        <v>0.2</v>
      </c>
      <c r="H111" s="9" t="s">
        <v>391</v>
      </c>
      <c r="I111" s="6">
        <v>1</v>
      </c>
      <c r="J111" s="6">
        <v>67.739999999999995</v>
      </c>
      <c r="K111" s="9">
        <f t="shared" si="6"/>
        <v>46023</v>
      </c>
      <c r="L111" s="32">
        <f t="shared" ca="1" si="7"/>
        <v>46278.541162037036</v>
      </c>
    </row>
    <row r="112" spans="1:12" ht="13.5">
      <c r="A112" s="6" t="s">
        <v>120</v>
      </c>
      <c r="B112" s="6" t="s">
        <v>233</v>
      </c>
      <c r="C112" s="6" t="s">
        <v>298</v>
      </c>
      <c r="D112" s="6" t="s">
        <v>306</v>
      </c>
      <c r="E112" s="7">
        <v>574.77</v>
      </c>
      <c r="F112" s="6">
        <v>5</v>
      </c>
      <c r="G112" s="8">
        <v>0.2</v>
      </c>
      <c r="H112" s="9" t="s">
        <v>376</v>
      </c>
      <c r="I112" s="6">
        <v>4</v>
      </c>
      <c r="J112" s="6">
        <v>107.94</v>
      </c>
      <c r="K112" s="9">
        <f t="shared" si="6"/>
        <v>46113</v>
      </c>
      <c r="L112" s="32">
        <f t="shared" ca="1" si="7"/>
        <v>46278.541162037036</v>
      </c>
    </row>
    <row r="113" spans="1:12" ht="13.5">
      <c r="A113" s="6" t="s">
        <v>121</v>
      </c>
      <c r="B113" s="6" t="s">
        <v>228</v>
      </c>
      <c r="C113" s="6" t="s">
        <v>298</v>
      </c>
      <c r="D113" s="6" t="s">
        <v>303</v>
      </c>
      <c r="E113" s="7">
        <v>1678.04</v>
      </c>
      <c r="F113" s="6">
        <v>8</v>
      </c>
      <c r="G113" s="8">
        <v>0.1</v>
      </c>
      <c r="H113" s="9" t="s">
        <v>385</v>
      </c>
      <c r="I113" s="6">
        <v>1</v>
      </c>
      <c r="J113" s="6">
        <v>278.04000000000002</v>
      </c>
      <c r="K113" s="9">
        <f t="shared" si="6"/>
        <v>46023</v>
      </c>
      <c r="L113" s="32">
        <f t="shared" ca="1" si="7"/>
        <v>46278.541162037036</v>
      </c>
    </row>
    <row r="114" spans="1:12" ht="13.5">
      <c r="A114" s="6" t="s">
        <v>122</v>
      </c>
      <c r="B114" s="6" t="s">
        <v>245</v>
      </c>
      <c r="C114" s="6" t="s">
        <v>300</v>
      </c>
      <c r="D114" s="6" t="s">
        <v>306</v>
      </c>
      <c r="E114" s="7">
        <v>1237.97</v>
      </c>
      <c r="F114" s="6">
        <v>8</v>
      </c>
      <c r="G114" s="8">
        <v>0.05</v>
      </c>
      <c r="H114" s="9" t="s">
        <v>389</v>
      </c>
      <c r="I114" s="6">
        <v>4</v>
      </c>
      <c r="J114" s="6">
        <v>222.92</v>
      </c>
      <c r="K114" s="9">
        <f t="shared" si="6"/>
        <v>46113</v>
      </c>
      <c r="L114" s="32">
        <f t="shared" ca="1" si="7"/>
        <v>46278.541162037036</v>
      </c>
    </row>
    <row r="115" spans="1:12" ht="13.5">
      <c r="A115" s="6" t="s">
        <v>123</v>
      </c>
      <c r="B115" s="6" t="s">
        <v>276</v>
      </c>
      <c r="C115" s="6" t="s">
        <v>300</v>
      </c>
      <c r="D115" s="6" t="s">
        <v>303</v>
      </c>
      <c r="E115" s="7">
        <v>477.73</v>
      </c>
      <c r="F115" s="6">
        <v>2</v>
      </c>
      <c r="G115" s="8">
        <v>0.1</v>
      </c>
      <c r="H115" s="9" t="s">
        <v>319</v>
      </c>
      <c r="I115" s="6">
        <v>2</v>
      </c>
      <c r="J115" s="6">
        <v>163.63999999999999</v>
      </c>
      <c r="K115" s="9">
        <f t="shared" si="6"/>
        <v>46054</v>
      </c>
      <c r="L115" s="32">
        <f t="shared" ca="1" si="7"/>
        <v>46278.541162037036</v>
      </c>
    </row>
    <row r="116" spans="1:12" ht="13.5">
      <c r="A116" s="6" t="s">
        <v>124</v>
      </c>
      <c r="B116" s="6" t="s">
        <v>216</v>
      </c>
      <c r="C116" s="6" t="s">
        <v>298</v>
      </c>
      <c r="D116" s="6" t="s">
        <v>304</v>
      </c>
      <c r="E116" s="7">
        <v>69.81</v>
      </c>
      <c r="F116" s="6">
        <v>1</v>
      </c>
      <c r="G116" s="8">
        <v>0.15</v>
      </c>
      <c r="H116" s="9" t="s">
        <v>393</v>
      </c>
      <c r="I116" s="6">
        <v>5</v>
      </c>
      <c r="J116" s="6">
        <v>20.399999999999999</v>
      </c>
      <c r="K116" s="9">
        <f t="shared" si="6"/>
        <v>46143</v>
      </c>
      <c r="L116" s="32">
        <f t="shared" ca="1" si="7"/>
        <v>46278.541162037036</v>
      </c>
    </row>
    <row r="117" spans="1:12" ht="13.5">
      <c r="A117" s="6" t="s">
        <v>125</v>
      </c>
      <c r="B117" s="6" t="s">
        <v>277</v>
      </c>
      <c r="C117" s="6" t="s">
        <v>299</v>
      </c>
      <c r="D117" s="6" t="s">
        <v>304</v>
      </c>
      <c r="E117" s="7">
        <v>773.49</v>
      </c>
      <c r="F117" s="6">
        <v>10</v>
      </c>
      <c r="G117" s="8">
        <v>0.1</v>
      </c>
      <c r="H117" s="9" t="s">
        <v>355</v>
      </c>
      <c r="I117" s="6">
        <v>1</v>
      </c>
      <c r="J117" s="6">
        <v>223.69</v>
      </c>
      <c r="K117" s="9">
        <f t="shared" si="6"/>
        <v>46023</v>
      </c>
      <c r="L117" s="32">
        <f t="shared" ca="1" si="7"/>
        <v>46278.541162037036</v>
      </c>
    </row>
    <row r="118" spans="1:12" ht="13.5">
      <c r="A118" s="6" t="s">
        <v>126</v>
      </c>
      <c r="B118" s="6" t="s">
        <v>227</v>
      </c>
      <c r="C118" s="6" t="s">
        <v>302</v>
      </c>
      <c r="D118" s="6" t="s">
        <v>303</v>
      </c>
      <c r="E118" s="7">
        <v>954.66</v>
      </c>
      <c r="F118" s="6">
        <v>4</v>
      </c>
      <c r="G118" s="8">
        <v>0.1</v>
      </c>
      <c r="H118" s="9" t="s">
        <v>311</v>
      </c>
      <c r="I118" s="6">
        <v>5</v>
      </c>
      <c r="J118" s="6">
        <v>221.28</v>
      </c>
      <c r="K118" s="9">
        <f t="shared" si="6"/>
        <v>46143</v>
      </c>
      <c r="L118" s="32">
        <f t="shared" ca="1" si="7"/>
        <v>46278.541162037036</v>
      </c>
    </row>
    <row r="119" spans="1:12" ht="13.5">
      <c r="A119" s="6" t="s">
        <v>127</v>
      </c>
      <c r="B119" s="6" t="s">
        <v>217</v>
      </c>
      <c r="C119" s="6" t="s">
        <v>300</v>
      </c>
      <c r="D119" s="6" t="s">
        <v>304</v>
      </c>
      <c r="E119" s="7">
        <v>224.96</v>
      </c>
      <c r="F119" s="6">
        <v>3</v>
      </c>
      <c r="G119" s="8">
        <v>0</v>
      </c>
      <c r="H119" s="9" t="s">
        <v>394</v>
      </c>
      <c r="I119" s="6">
        <v>5</v>
      </c>
      <c r="J119" s="6">
        <v>52.79</v>
      </c>
      <c r="K119" s="9">
        <f t="shared" si="6"/>
        <v>46143</v>
      </c>
      <c r="L119" s="32">
        <f t="shared" ca="1" si="7"/>
        <v>46278.541162037036</v>
      </c>
    </row>
    <row r="120" spans="1:12" ht="13.5">
      <c r="A120" s="6" t="s">
        <v>128</v>
      </c>
      <c r="B120" s="6" t="s">
        <v>220</v>
      </c>
      <c r="C120" s="6" t="s">
        <v>299</v>
      </c>
      <c r="D120" s="6" t="s">
        <v>304</v>
      </c>
      <c r="E120" s="7">
        <v>366.69</v>
      </c>
      <c r="F120" s="6">
        <v>5</v>
      </c>
      <c r="G120" s="8">
        <v>0.15</v>
      </c>
      <c r="H120" s="9" t="s">
        <v>394</v>
      </c>
      <c r="I120" s="6">
        <v>5</v>
      </c>
      <c r="J120" s="6">
        <v>57.31</v>
      </c>
      <c r="K120" s="9">
        <f t="shared" si="6"/>
        <v>46143</v>
      </c>
      <c r="L120" s="32">
        <f t="shared" ca="1" si="7"/>
        <v>46278.541162037036</v>
      </c>
    </row>
    <row r="121" spans="1:12" ht="13.5">
      <c r="A121" s="6" t="s">
        <v>129</v>
      </c>
      <c r="B121" s="6" t="s">
        <v>248</v>
      </c>
      <c r="C121" s="6" t="s">
        <v>299</v>
      </c>
      <c r="D121" s="6" t="s">
        <v>304</v>
      </c>
      <c r="E121" s="7">
        <v>725.67</v>
      </c>
      <c r="F121" s="6">
        <v>9</v>
      </c>
      <c r="G121" s="8">
        <v>0</v>
      </c>
      <c r="H121" s="9" t="s">
        <v>314</v>
      </c>
      <c r="I121" s="6">
        <v>3</v>
      </c>
      <c r="J121" s="6">
        <v>181.45</v>
      </c>
      <c r="K121" s="9">
        <f t="shared" si="6"/>
        <v>46082</v>
      </c>
      <c r="L121" s="32">
        <f t="shared" ca="1" si="7"/>
        <v>46278.541162037036</v>
      </c>
    </row>
    <row r="122" spans="1:12" ht="13.5">
      <c r="A122" s="6" t="s">
        <v>130</v>
      </c>
      <c r="B122" s="6" t="s">
        <v>278</v>
      </c>
      <c r="C122" s="6" t="s">
        <v>302</v>
      </c>
      <c r="D122" s="6" t="s">
        <v>306</v>
      </c>
      <c r="E122" s="7">
        <v>151.26</v>
      </c>
      <c r="F122" s="6">
        <v>1</v>
      </c>
      <c r="G122" s="8">
        <v>0.05</v>
      </c>
      <c r="H122" s="9" t="s">
        <v>395</v>
      </c>
      <c r="I122" s="6">
        <v>6</v>
      </c>
      <c r="J122" s="6">
        <v>43.09</v>
      </c>
      <c r="K122" s="9">
        <f t="shared" si="6"/>
        <v>46174</v>
      </c>
      <c r="L122" s="32">
        <f t="shared" ca="1" si="7"/>
        <v>46278.541162037036</v>
      </c>
    </row>
    <row r="123" spans="1:12" ht="13.5">
      <c r="A123" s="6" t="s">
        <v>131</v>
      </c>
      <c r="B123" s="6" t="s">
        <v>279</v>
      </c>
      <c r="C123" s="6" t="s">
        <v>298</v>
      </c>
      <c r="D123" s="6" t="s">
        <v>306</v>
      </c>
      <c r="E123" s="7">
        <v>1384.1</v>
      </c>
      <c r="F123" s="6">
        <v>9</v>
      </c>
      <c r="G123" s="8">
        <v>0.05</v>
      </c>
      <c r="H123" s="9" t="s">
        <v>396</v>
      </c>
      <c r="I123" s="6">
        <v>2</v>
      </c>
      <c r="J123" s="6">
        <v>440.03</v>
      </c>
      <c r="K123" s="9">
        <f t="shared" si="6"/>
        <v>46054</v>
      </c>
      <c r="L123" s="32">
        <f t="shared" ca="1" si="7"/>
        <v>46278.541162037036</v>
      </c>
    </row>
    <row r="124" spans="1:12" ht="13.5">
      <c r="A124" s="6" t="s">
        <v>132</v>
      </c>
      <c r="B124" s="6" t="s">
        <v>233</v>
      </c>
      <c r="C124" s="6" t="s">
        <v>299</v>
      </c>
      <c r="D124" s="6" t="s">
        <v>305</v>
      </c>
      <c r="E124" s="7">
        <v>1146.68</v>
      </c>
      <c r="F124" s="6">
        <v>7</v>
      </c>
      <c r="G124" s="8">
        <v>0.15</v>
      </c>
      <c r="H124" s="9" t="s">
        <v>382</v>
      </c>
      <c r="I124" s="6">
        <v>4</v>
      </c>
      <c r="J124" s="6">
        <v>294.74</v>
      </c>
      <c r="K124" s="9">
        <f t="shared" si="6"/>
        <v>46113</v>
      </c>
      <c r="L124" s="32">
        <f t="shared" ca="1" si="7"/>
        <v>46278.541162037036</v>
      </c>
    </row>
    <row r="125" spans="1:12" ht="13.5">
      <c r="A125" s="6" t="s">
        <v>133</v>
      </c>
      <c r="B125" s="6" t="s">
        <v>231</v>
      </c>
      <c r="C125" s="6" t="s">
        <v>299</v>
      </c>
      <c r="D125" s="6" t="s">
        <v>303</v>
      </c>
      <c r="E125" s="7">
        <v>368.8</v>
      </c>
      <c r="F125" s="6">
        <v>2</v>
      </c>
      <c r="G125" s="8">
        <v>0.2</v>
      </c>
      <c r="H125" s="9" t="s">
        <v>397</v>
      </c>
      <c r="I125" s="6">
        <v>4</v>
      </c>
      <c r="J125" s="6">
        <v>57.53</v>
      </c>
      <c r="K125" s="9">
        <f t="shared" si="6"/>
        <v>46113</v>
      </c>
      <c r="L125" s="32">
        <f t="shared" ca="1" si="7"/>
        <v>46278.541162037036</v>
      </c>
    </row>
    <row r="126" spans="1:12" ht="13.5">
      <c r="A126" s="6" t="s">
        <v>134</v>
      </c>
      <c r="B126" s="6" t="s">
        <v>210</v>
      </c>
      <c r="C126" s="6" t="s">
        <v>299</v>
      </c>
      <c r="D126" s="6" t="s">
        <v>304</v>
      </c>
      <c r="E126" s="7">
        <v>272.33</v>
      </c>
      <c r="F126" s="6">
        <v>4</v>
      </c>
      <c r="G126" s="8">
        <v>0.1</v>
      </c>
      <c r="H126" s="9" t="s">
        <v>387</v>
      </c>
      <c r="I126" s="6">
        <v>6</v>
      </c>
      <c r="J126" s="6">
        <v>92.86</v>
      </c>
      <c r="K126" s="9">
        <f t="shared" si="6"/>
        <v>46174</v>
      </c>
      <c r="L126" s="32">
        <f t="shared" ca="1" si="7"/>
        <v>46278.541162037036</v>
      </c>
    </row>
    <row r="127" spans="1:12" ht="13.5">
      <c r="A127" s="6" t="s">
        <v>135</v>
      </c>
      <c r="B127" s="6" t="s">
        <v>262</v>
      </c>
      <c r="C127" s="6" t="s">
        <v>298</v>
      </c>
      <c r="D127" s="6" t="s">
        <v>303</v>
      </c>
      <c r="E127" s="7">
        <v>492.71</v>
      </c>
      <c r="F127" s="6">
        <v>2</v>
      </c>
      <c r="G127" s="8">
        <v>0</v>
      </c>
      <c r="H127" s="9" t="s">
        <v>398</v>
      </c>
      <c r="I127" s="6">
        <v>4</v>
      </c>
      <c r="J127" s="6">
        <v>171.26</v>
      </c>
      <c r="K127" s="9">
        <f t="shared" si="6"/>
        <v>46113</v>
      </c>
      <c r="L127" s="32">
        <f t="shared" ca="1" si="7"/>
        <v>46278.541162037036</v>
      </c>
    </row>
    <row r="128" spans="1:12" ht="13.5">
      <c r="A128" s="6" t="s">
        <v>136</v>
      </c>
      <c r="B128" s="6" t="s">
        <v>270</v>
      </c>
      <c r="C128" s="6" t="s">
        <v>298</v>
      </c>
      <c r="D128" s="6" t="s">
        <v>305</v>
      </c>
      <c r="E128" s="7">
        <v>1446.5</v>
      </c>
      <c r="F128" s="6">
        <v>8</v>
      </c>
      <c r="G128" s="8">
        <v>0.15</v>
      </c>
      <c r="H128" s="9" t="s">
        <v>332</v>
      </c>
      <c r="I128" s="6">
        <v>1</v>
      </c>
      <c r="J128" s="6">
        <v>341.19</v>
      </c>
      <c r="K128" s="9">
        <f t="shared" si="6"/>
        <v>46023</v>
      </c>
      <c r="L128" s="32">
        <f t="shared" ca="1" si="7"/>
        <v>46278.541162037036</v>
      </c>
    </row>
    <row r="129" spans="1:12" ht="13.5">
      <c r="A129" s="6" t="s">
        <v>137</v>
      </c>
      <c r="B129" s="6" t="s">
        <v>224</v>
      </c>
      <c r="C129" s="6" t="s">
        <v>300</v>
      </c>
      <c r="D129" s="6" t="s">
        <v>305</v>
      </c>
      <c r="E129" s="7">
        <v>428.86</v>
      </c>
      <c r="F129" s="6">
        <v>2</v>
      </c>
      <c r="G129" s="8">
        <v>0</v>
      </c>
      <c r="H129" s="9" t="s">
        <v>399</v>
      </c>
      <c r="I129" s="6">
        <v>3</v>
      </c>
      <c r="J129" s="6">
        <v>138.24</v>
      </c>
      <c r="K129" s="9">
        <f t="shared" si="6"/>
        <v>46082</v>
      </c>
      <c r="L129" s="32">
        <f t="shared" ca="1" si="7"/>
        <v>46278.541162037036</v>
      </c>
    </row>
    <row r="130" spans="1:12" ht="13.5">
      <c r="A130" s="6" t="s">
        <v>138</v>
      </c>
      <c r="B130" s="6" t="s">
        <v>280</v>
      </c>
      <c r="C130" s="6" t="s">
        <v>300</v>
      </c>
      <c r="D130" s="6" t="s">
        <v>304</v>
      </c>
      <c r="E130" s="7">
        <v>194.7</v>
      </c>
      <c r="F130" s="6">
        <v>3</v>
      </c>
      <c r="G130" s="8">
        <v>0.1</v>
      </c>
      <c r="H130" s="9" t="s">
        <v>400</v>
      </c>
      <c r="I130" s="6">
        <v>6</v>
      </c>
      <c r="J130" s="6">
        <v>45.54</v>
      </c>
      <c r="K130" s="9">
        <f t="shared" ref="K130:K161" si="8">EOMONTH(H130, -1) + 1</f>
        <v>46174</v>
      </c>
      <c r="L130" s="32">
        <f t="shared" ref="L130:L161" ca="1" si="9">NOW()</f>
        <v>46278.541162037036</v>
      </c>
    </row>
    <row r="131" spans="1:12" ht="13.5">
      <c r="A131" s="6" t="s">
        <v>139</v>
      </c>
      <c r="B131" s="6" t="s">
        <v>281</v>
      </c>
      <c r="C131" s="6" t="s">
        <v>299</v>
      </c>
      <c r="D131" s="6" t="s">
        <v>305</v>
      </c>
      <c r="E131" s="7">
        <v>1282.75</v>
      </c>
      <c r="F131" s="6">
        <v>8</v>
      </c>
      <c r="G131" s="8">
        <v>0.2</v>
      </c>
      <c r="H131" s="9" t="s">
        <v>401</v>
      </c>
      <c r="I131" s="6">
        <v>3</v>
      </c>
      <c r="J131" s="6">
        <v>191.83</v>
      </c>
      <c r="K131" s="9">
        <f t="shared" si="8"/>
        <v>46082</v>
      </c>
      <c r="L131" s="32">
        <f t="shared" ca="1" si="9"/>
        <v>46278.541162037036</v>
      </c>
    </row>
    <row r="132" spans="1:12" ht="13.5">
      <c r="A132" s="6" t="s">
        <v>140</v>
      </c>
      <c r="B132" s="6" t="s">
        <v>282</v>
      </c>
      <c r="C132" s="6" t="s">
        <v>298</v>
      </c>
      <c r="D132" s="6" t="s">
        <v>304</v>
      </c>
      <c r="E132" s="7">
        <v>393.39</v>
      </c>
      <c r="F132" s="6">
        <v>5</v>
      </c>
      <c r="G132" s="8">
        <v>0</v>
      </c>
      <c r="H132" s="9" t="s">
        <v>397</v>
      </c>
      <c r="I132" s="6">
        <v>4</v>
      </c>
      <c r="J132" s="6">
        <v>106.69</v>
      </c>
      <c r="K132" s="9">
        <f t="shared" si="8"/>
        <v>46113</v>
      </c>
      <c r="L132" s="32">
        <f t="shared" ca="1" si="9"/>
        <v>46278.541162037036</v>
      </c>
    </row>
    <row r="133" spans="1:12" ht="13.5">
      <c r="A133" s="6" t="s">
        <v>141</v>
      </c>
      <c r="B133" s="6" t="s">
        <v>215</v>
      </c>
      <c r="C133" s="6" t="s">
        <v>298</v>
      </c>
      <c r="D133" s="6" t="s">
        <v>305</v>
      </c>
      <c r="E133" s="7">
        <v>1444.96</v>
      </c>
      <c r="F133" s="6">
        <v>9</v>
      </c>
      <c r="G133" s="8">
        <v>0.15</v>
      </c>
      <c r="H133" s="9" t="s">
        <v>402</v>
      </c>
      <c r="I133" s="6">
        <v>1</v>
      </c>
      <c r="J133" s="6">
        <v>399.63</v>
      </c>
      <c r="K133" s="9">
        <f t="shared" si="8"/>
        <v>46023</v>
      </c>
      <c r="L133" s="32">
        <f t="shared" ca="1" si="9"/>
        <v>46278.541162037036</v>
      </c>
    </row>
    <row r="134" spans="1:12" ht="13.5">
      <c r="A134" s="6" t="s">
        <v>142</v>
      </c>
      <c r="B134" s="6" t="s">
        <v>236</v>
      </c>
      <c r="C134" s="6" t="s">
        <v>302</v>
      </c>
      <c r="D134" s="6" t="s">
        <v>305</v>
      </c>
      <c r="E134" s="7">
        <v>831.58</v>
      </c>
      <c r="F134" s="6">
        <v>5</v>
      </c>
      <c r="G134" s="8">
        <v>0.1</v>
      </c>
      <c r="H134" s="9" t="s">
        <v>403</v>
      </c>
      <c r="I134" s="6">
        <v>5</v>
      </c>
      <c r="J134" s="6">
        <v>127.13</v>
      </c>
      <c r="K134" s="9">
        <f t="shared" si="8"/>
        <v>46143</v>
      </c>
      <c r="L134" s="32">
        <f t="shared" ca="1" si="9"/>
        <v>46278.541162037036</v>
      </c>
    </row>
    <row r="135" spans="1:12" ht="13.5">
      <c r="A135" s="6" t="s">
        <v>143</v>
      </c>
      <c r="B135" s="6" t="s">
        <v>283</v>
      </c>
      <c r="C135" s="6" t="s">
        <v>299</v>
      </c>
      <c r="D135" s="6" t="s">
        <v>304</v>
      </c>
      <c r="E135" s="7">
        <v>487.63</v>
      </c>
      <c r="F135" s="6">
        <v>7</v>
      </c>
      <c r="G135" s="8">
        <v>0.1</v>
      </c>
      <c r="H135" s="9" t="s">
        <v>374</v>
      </c>
      <c r="I135" s="6">
        <v>5</v>
      </c>
      <c r="J135" s="6">
        <v>84.46</v>
      </c>
      <c r="K135" s="9">
        <f t="shared" si="8"/>
        <v>46143</v>
      </c>
      <c r="L135" s="32">
        <f t="shared" ca="1" si="9"/>
        <v>46278.541162037036</v>
      </c>
    </row>
    <row r="136" spans="1:12" ht="13.5">
      <c r="A136" s="6" t="s">
        <v>144</v>
      </c>
      <c r="B136" s="6" t="s">
        <v>284</v>
      </c>
      <c r="C136" s="6" t="s">
        <v>300</v>
      </c>
      <c r="D136" s="6" t="s">
        <v>305</v>
      </c>
      <c r="E136" s="7">
        <v>1393.38</v>
      </c>
      <c r="F136" s="6">
        <v>8</v>
      </c>
      <c r="G136" s="8">
        <v>0.2</v>
      </c>
      <c r="H136" s="9" t="s">
        <v>404</v>
      </c>
      <c r="I136" s="6">
        <v>2</v>
      </c>
      <c r="J136" s="6">
        <v>152.16</v>
      </c>
      <c r="K136" s="9">
        <f t="shared" si="8"/>
        <v>46054</v>
      </c>
      <c r="L136" s="32">
        <f t="shared" ca="1" si="9"/>
        <v>46278.541162037036</v>
      </c>
    </row>
    <row r="137" spans="1:12" ht="13.5">
      <c r="A137" s="6" t="s">
        <v>145</v>
      </c>
      <c r="B137" s="6" t="s">
        <v>248</v>
      </c>
      <c r="C137" s="6" t="s">
        <v>302</v>
      </c>
      <c r="D137" s="6" t="s">
        <v>305</v>
      </c>
      <c r="E137" s="7">
        <v>1311.91</v>
      </c>
      <c r="F137" s="6">
        <v>8</v>
      </c>
      <c r="G137" s="8">
        <v>0.15</v>
      </c>
      <c r="H137" s="9" t="s">
        <v>390</v>
      </c>
      <c r="I137" s="6">
        <v>2</v>
      </c>
      <c r="J137" s="6">
        <v>174.68</v>
      </c>
      <c r="K137" s="9">
        <f t="shared" si="8"/>
        <v>46054</v>
      </c>
      <c r="L137" s="32">
        <f t="shared" ca="1" si="9"/>
        <v>46278.541162037036</v>
      </c>
    </row>
    <row r="138" spans="1:12" ht="13.5">
      <c r="A138" s="6" t="s">
        <v>146</v>
      </c>
      <c r="B138" s="6" t="s">
        <v>273</v>
      </c>
      <c r="C138" s="6" t="s">
        <v>298</v>
      </c>
      <c r="D138" s="6" t="s">
        <v>305</v>
      </c>
      <c r="E138" s="7">
        <v>722.71</v>
      </c>
      <c r="F138" s="6">
        <v>4</v>
      </c>
      <c r="G138" s="8">
        <v>0.1</v>
      </c>
      <c r="H138" s="9" t="s">
        <v>349</v>
      </c>
      <c r="I138" s="6">
        <v>6</v>
      </c>
      <c r="J138" s="6">
        <v>232.06</v>
      </c>
      <c r="K138" s="9">
        <f t="shared" si="8"/>
        <v>46174</v>
      </c>
      <c r="L138" s="32">
        <f t="shared" ca="1" si="9"/>
        <v>46278.541162037036</v>
      </c>
    </row>
    <row r="139" spans="1:12" ht="13.5">
      <c r="A139" s="6" t="s">
        <v>147</v>
      </c>
      <c r="B139" s="6" t="s">
        <v>244</v>
      </c>
      <c r="C139" s="6" t="s">
        <v>300</v>
      </c>
      <c r="D139" s="6" t="s">
        <v>303</v>
      </c>
      <c r="E139" s="7">
        <v>2081.21</v>
      </c>
      <c r="F139" s="6">
        <v>8</v>
      </c>
      <c r="G139" s="8">
        <v>0</v>
      </c>
      <c r="H139" s="9" t="s">
        <v>405</v>
      </c>
      <c r="I139" s="6">
        <v>5</v>
      </c>
      <c r="J139" s="6">
        <v>709.13</v>
      </c>
      <c r="K139" s="9">
        <f t="shared" si="8"/>
        <v>46143</v>
      </c>
      <c r="L139" s="32">
        <f t="shared" ca="1" si="9"/>
        <v>46278.541162037036</v>
      </c>
    </row>
    <row r="140" spans="1:12" ht="13.5">
      <c r="A140" s="6" t="s">
        <v>148</v>
      </c>
      <c r="B140" s="6" t="s">
        <v>271</v>
      </c>
      <c r="C140" s="6" t="s">
        <v>299</v>
      </c>
      <c r="D140" s="6" t="s">
        <v>306</v>
      </c>
      <c r="E140" s="7">
        <v>1247.52</v>
      </c>
      <c r="F140" s="6">
        <v>9</v>
      </c>
      <c r="G140" s="8">
        <v>0.05</v>
      </c>
      <c r="H140" s="9" t="s">
        <v>406</v>
      </c>
      <c r="I140" s="6">
        <v>2</v>
      </c>
      <c r="J140" s="6">
        <v>336.62</v>
      </c>
      <c r="K140" s="9">
        <f t="shared" si="8"/>
        <v>46054</v>
      </c>
      <c r="L140" s="32">
        <f t="shared" ca="1" si="9"/>
        <v>46278.541162037036</v>
      </c>
    </row>
    <row r="141" spans="1:12" ht="13.5">
      <c r="A141" s="6" t="s">
        <v>149</v>
      </c>
      <c r="B141" s="6" t="s">
        <v>272</v>
      </c>
      <c r="C141" s="6" t="s">
        <v>298</v>
      </c>
      <c r="D141" s="6" t="s">
        <v>303</v>
      </c>
      <c r="E141" s="7">
        <v>697.65</v>
      </c>
      <c r="F141" s="6">
        <v>3</v>
      </c>
      <c r="G141" s="8">
        <v>0.15</v>
      </c>
      <c r="H141" s="9" t="s">
        <v>343</v>
      </c>
      <c r="I141" s="6">
        <v>1</v>
      </c>
      <c r="J141" s="6">
        <v>100.86</v>
      </c>
      <c r="K141" s="9">
        <f t="shared" si="8"/>
        <v>46023</v>
      </c>
      <c r="L141" s="32">
        <f t="shared" ca="1" si="9"/>
        <v>46278.541162037036</v>
      </c>
    </row>
    <row r="142" spans="1:12" ht="13.5">
      <c r="A142" s="6" t="s">
        <v>150</v>
      </c>
      <c r="B142" s="6" t="s">
        <v>285</v>
      </c>
      <c r="C142" s="6" t="s">
        <v>299</v>
      </c>
      <c r="D142" s="6" t="s">
        <v>305</v>
      </c>
      <c r="E142" s="7">
        <v>1529.49</v>
      </c>
      <c r="F142" s="6">
        <v>7</v>
      </c>
      <c r="G142" s="8">
        <v>0</v>
      </c>
      <c r="H142" s="9" t="s">
        <v>407</v>
      </c>
      <c r="I142" s="6">
        <v>3</v>
      </c>
      <c r="J142" s="6">
        <v>456.28</v>
      </c>
      <c r="K142" s="9">
        <f t="shared" si="8"/>
        <v>46082</v>
      </c>
      <c r="L142" s="32">
        <f t="shared" ca="1" si="9"/>
        <v>46278.541162037036</v>
      </c>
    </row>
    <row r="143" spans="1:12" ht="13.5">
      <c r="A143" s="6" t="s">
        <v>151</v>
      </c>
      <c r="B143" s="6" t="s">
        <v>286</v>
      </c>
      <c r="C143" s="6" t="s">
        <v>302</v>
      </c>
      <c r="D143" s="6" t="s">
        <v>306</v>
      </c>
      <c r="E143" s="7">
        <v>456.17</v>
      </c>
      <c r="F143" s="6">
        <v>4</v>
      </c>
      <c r="G143" s="8">
        <v>0.2</v>
      </c>
      <c r="H143" s="9" t="s">
        <v>393</v>
      </c>
      <c r="I143" s="6">
        <v>5</v>
      </c>
      <c r="J143" s="6">
        <v>88.81</v>
      </c>
      <c r="K143" s="9">
        <f t="shared" si="8"/>
        <v>46143</v>
      </c>
      <c r="L143" s="32">
        <f t="shared" ca="1" si="9"/>
        <v>46278.541162037036</v>
      </c>
    </row>
    <row r="144" spans="1:12" ht="13.5">
      <c r="A144" s="6" t="s">
        <v>152</v>
      </c>
      <c r="B144" s="6" t="s">
        <v>287</v>
      </c>
      <c r="C144" s="6" t="s">
        <v>302</v>
      </c>
      <c r="D144" s="6" t="s">
        <v>303</v>
      </c>
      <c r="E144" s="7">
        <v>1998.9</v>
      </c>
      <c r="F144" s="6">
        <v>10</v>
      </c>
      <c r="G144" s="8">
        <v>0.2</v>
      </c>
      <c r="H144" s="9" t="s">
        <v>408</v>
      </c>
      <c r="I144" s="6">
        <v>4</v>
      </c>
      <c r="J144" s="6">
        <v>269.13</v>
      </c>
      <c r="K144" s="9">
        <f t="shared" si="8"/>
        <v>46113</v>
      </c>
      <c r="L144" s="32">
        <f t="shared" ca="1" si="9"/>
        <v>46278.541162037036</v>
      </c>
    </row>
    <row r="145" spans="1:12" ht="13.5">
      <c r="A145" s="6" t="s">
        <v>153</v>
      </c>
      <c r="B145" s="6" t="s">
        <v>288</v>
      </c>
      <c r="C145" s="6" t="s">
        <v>302</v>
      </c>
      <c r="D145" s="6" t="s">
        <v>303</v>
      </c>
      <c r="E145" s="7">
        <v>1944.36</v>
      </c>
      <c r="F145" s="6">
        <v>9</v>
      </c>
      <c r="G145" s="8">
        <v>0.1</v>
      </c>
      <c r="H145" s="9" t="s">
        <v>336</v>
      </c>
      <c r="I145" s="6">
        <v>1</v>
      </c>
      <c r="J145" s="6">
        <v>460.37</v>
      </c>
      <c r="K145" s="9">
        <f t="shared" si="8"/>
        <v>46023</v>
      </c>
      <c r="L145" s="32">
        <f t="shared" ca="1" si="9"/>
        <v>46278.541162037036</v>
      </c>
    </row>
    <row r="146" spans="1:12" ht="13.5">
      <c r="A146" s="6" t="s">
        <v>154</v>
      </c>
      <c r="B146" s="6" t="s">
        <v>260</v>
      </c>
      <c r="C146" s="6" t="s">
        <v>301</v>
      </c>
      <c r="D146" s="6" t="s">
        <v>303</v>
      </c>
      <c r="E146" s="7">
        <v>574.17999999999995</v>
      </c>
      <c r="F146" s="6">
        <v>3</v>
      </c>
      <c r="G146" s="8">
        <v>0.2</v>
      </c>
      <c r="H146" s="9" t="s">
        <v>409</v>
      </c>
      <c r="I146" s="6">
        <v>3</v>
      </c>
      <c r="J146" s="6">
        <v>103.18</v>
      </c>
      <c r="K146" s="9">
        <f t="shared" si="8"/>
        <v>46082</v>
      </c>
      <c r="L146" s="32">
        <f t="shared" ca="1" si="9"/>
        <v>46278.541162037036</v>
      </c>
    </row>
    <row r="147" spans="1:12" ht="13.5">
      <c r="A147" s="6" t="s">
        <v>155</v>
      </c>
      <c r="B147" s="6" t="s">
        <v>289</v>
      </c>
      <c r="C147" s="6" t="s">
        <v>299</v>
      </c>
      <c r="D147" s="6" t="s">
        <v>304</v>
      </c>
      <c r="E147" s="7">
        <v>137.91999999999999</v>
      </c>
      <c r="F147" s="6">
        <v>2</v>
      </c>
      <c r="G147" s="8">
        <v>0.05</v>
      </c>
      <c r="H147" s="9" t="s">
        <v>410</v>
      </c>
      <c r="I147" s="6">
        <v>5</v>
      </c>
      <c r="J147" s="6">
        <v>41.12</v>
      </c>
      <c r="K147" s="9">
        <f t="shared" si="8"/>
        <v>46143</v>
      </c>
      <c r="L147" s="32">
        <f t="shared" ca="1" si="9"/>
        <v>46278.541162037036</v>
      </c>
    </row>
    <row r="148" spans="1:12" ht="13.5">
      <c r="A148" s="6" t="s">
        <v>156</v>
      </c>
      <c r="B148" s="6" t="s">
        <v>265</v>
      </c>
      <c r="C148" s="6" t="s">
        <v>302</v>
      </c>
      <c r="D148" s="6" t="s">
        <v>305</v>
      </c>
      <c r="E148" s="7">
        <v>1021.91</v>
      </c>
      <c r="F148" s="6">
        <v>5</v>
      </c>
      <c r="G148" s="8">
        <v>0</v>
      </c>
      <c r="H148" s="9" t="s">
        <v>406</v>
      </c>
      <c r="I148" s="6">
        <v>2</v>
      </c>
      <c r="J148" s="6">
        <v>334.18</v>
      </c>
      <c r="K148" s="9">
        <f t="shared" si="8"/>
        <v>46054</v>
      </c>
      <c r="L148" s="32">
        <f t="shared" ca="1" si="9"/>
        <v>46278.541162037036</v>
      </c>
    </row>
    <row r="149" spans="1:12" ht="13.5">
      <c r="A149" s="6" t="s">
        <v>157</v>
      </c>
      <c r="B149" s="6" t="s">
        <v>281</v>
      </c>
      <c r="C149" s="6" t="s">
        <v>302</v>
      </c>
      <c r="D149" s="6" t="s">
        <v>305</v>
      </c>
      <c r="E149" s="7">
        <v>1190.6400000000001</v>
      </c>
      <c r="F149" s="6">
        <v>7</v>
      </c>
      <c r="G149" s="8">
        <v>0.15</v>
      </c>
      <c r="H149" s="9" t="s">
        <v>358</v>
      </c>
      <c r="I149" s="6">
        <v>4</v>
      </c>
      <c r="J149" s="6">
        <v>159.62</v>
      </c>
      <c r="K149" s="9">
        <f t="shared" si="8"/>
        <v>46113</v>
      </c>
      <c r="L149" s="32">
        <f t="shared" ca="1" si="9"/>
        <v>46278.541162037036</v>
      </c>
    </row>
    <row r="150" spans="1:12" ht="13.5">
      <c r="A150" s="6" t="s">
        <v>158</v>
      </c>
      <c r="B150" s="6" t="s">
        <v>214</v>
      </c>
      <c r="C150" s="6" t="s">
        <v>299</v>
      </c>
      <c r="D150" s="6" t="s">
        <v>306</v>
      </c>
      <c r="E150" s="7">
        <v>737.34</v>
      </c>
      <c r="F150" s="6">
        <v>6</v>
      </c>
      <c r="G150" s="8">
        <v>0.1</v>
      </c>
      <c r="H150" s="9" t="s">
        <v>394</v>
      </c>
      <c r="I150" s="6">
        <v>5</v>
      </c>
      <c r="J150" s="6">
        <v>165.84</v>
      </c>
      <c r="K150" s="9">
        <f t="shared" si="8"/>
        <v>46143</v>
      </c>
      <c r="L150" s="32">
        <f t="shared" ca="1" si="9"/>
        <v>46278.541162037036</v>
      </c>
    </row>
    <row r="151" spans="1:12" ht="13.5">
      <c r="A151" s="6" t="s">
        <v>159</v>
      </c>
      <c r="B151" s="6" t="s">
        <v>246</v>
      </c>
      <c r="C151" s="6" t="s">
        <v>302</v>
      </c>
      <c r="D151" s="6" t="s">
        <v>303</v>
      </c>
      <c r="E151" s="7">
        <v>1827.83</v>
      </c>
      <c r="F151" s="6">
        <v>9</v>
      </c>
      <c r="G151" s="8">
        <v>0.15</v>
      </c>
      <c r="H151" s="9" t="s">
        <v>365</v>
      </c>
      <c r="I151" s="6">
        <v>6</v>
      </c>
      <c r="J151" s="6">
        <v>457.27</v>
      </c>
      <c r="K151" s="9">
        <f t="shared" si="8"/>
        <v>46174</v>
      </c>
      <c r="L151" s="32">
        <f t="shared" ca="1" si="9"/>
        <v>46278.541162037036</v>
      </c>
    </row>
    <row r="152" spans="1:12" ht="13.5">
      <c r="A152" s="6" t="s">
        <v>160</v>
      </c>
      <c r="B152" s="6" t="s">
        <v>290</v>
      </c>
      <c r="C152" s="6" t="s">
        <v>299</v>
      </c>
      <c r="D152" s="6" t="s">
        <v>305</v>
      </c>
      <c r="E152" s="7">
        <v>1081.6500000000001</v>
      </c>
      <c r="F152" s="6">
        <v>5</v>
      </c>
      <c r="G152" s="8">
        <v>0</v>
      </c>
      <c r="H152" s="9" t="s">
        <v>347</v>
      </c>
      <c r="I152" s="6">
        <v>6</v>
      </c>
      <c r="J152" s="6">
        <v>325.17</v>
      </c>
      <c r="K152" s="9">
        <f t="shared" si="8"/>
        <v>46174</v>
      </c>
      <c r="L152" s="32">
        <f t="shared" ca="1" si="9"/>
        <v>46278.541162037036</v>
      </c>
    </row>
    <row r="153" spans="1:12" ht="13.5">
      <c r="A153" s="6" t="s">
        <v>161</v>
      </c>
      <c r="B153" s="6" t="s">
        <v>265</v>
      </c>
      <c r="C153" s="6" t="s">
        <v>298</v>
      </c>
      <c r="D153" s="6" t="s">
        <v>303</v>
      </c>
      <c r="E153" s="7">
        <v>225.13</v>
      </c>
      <c r="F153" s="6">
        <v>1</v>
      </c>
      <c r="G153" s="8">
        <v>0.05</v>
      </c>
      <c r="H153" s="9" t="s">
        <v>411</v>
      </c>
      <c r="I153" s="6">
        <v>6</v>
      </c>
      <c r="J153" s="6">
        <v>77.959999999999994</v>
      </c>
      <c r="K153" s="9">
        <f t="shared" si="8"/>
        <v>46174</v>
      </c>
      <c r="L153" s="32">
        <f t="shared" ca="1" si="9"/>
        <v>46278.541162037036</v>
      </c>
    </row>
    <row r="154" spans="1:12" ht="13.5">
      <c r="A154" s="6" t="s">
        <v>162</v>
      </c>
      <c r="B154" s="6" t="s">
        <v>255</v>
      </c>
      <c r="C154" s="6" t="s">
        <v>299</v>
      </c>
      <c r="D154" s="6" t="s">
        <v>305</v>
      </c>
      <c r="E154" s="7">
        <v>928.98</v>
      </c>
      <c r="F154" s="6">
        <v>5</v>
      </c>
      <c r="G154" s="8">
        <v>0</v>
      </c>
      <c r="H154" s="9" t="s">
        <v>353</v>
      </c>
      <c r="I154" s="6">
        <v>6</v>
      </c>
      <c r="J154" s="6">
        <v>308.18</v>
      </c>
      <c r="K154" s="9">
        <f t="shared" si="8"/>
        <v>46174</v>
      </c>
      <c r="L154" s="32">
        <f t="shared" ca="1" si="9"/>
        <v>46278.541162037036</v>
      </c>
    </row>
    <row r="155" spans="1:12" ht="13.5">
      <c r="A155" s="6" t="s">
        <v>163</v>
      </c>
      <c r="B155" s="6" t="s">
        <v>271</v>
      </c>
      <c r="C155" s="6" t="s">
        <v>299</v>
      </c>
      <c r="D155" s="6" t="s">
        <v>303</v>
      </c>
      <c r="E155" s="7">
        <v>1247.3599999999999</v>
      </c>
      <c r="F155" s="6">
        <v>5</v>
      </c>
      <c r="G155" s="8">
        <v>0</v>
      </c>
      <c r="H155" s="9" t="s">
        <v>393</v>
      </c>
      <c r="I155" s="6">
        <v>5</v>
      </c>
      <c r="J155" s="6">
        <v>290.12</v>
      </c>
      <c r="K155" s="9">
        <f t="shared" si="8"/>
        <v>46143</v>
      </c>
      <c r="L155" s="32">
        <f t="shared" ca="1" si="9"/>
        <v>46278.541162037036</v>
      </c>
    </row>
    <row r="156" spans="1:12" ht="13.5">
      <c r="A156" s="6" t="s">
        <v>164</v>
      </c>
      <c r="B156" s="6" t="s">
        <v>225</v>
      </c>
      <c r="C156" s="6" t="s">
        <v>301</v>
      </c>
      <c r="D156" s="6" t="s">
        <v>305</v>
      </c>
      <c r="E156" s="7">
        <v>1974.83</v>
      </c>
      <c r="F156" s="6">
        <v>10</v>
      </c>
      <c r="G156" s="8">
        <v>0.1</v>
      </c>
      <c r="H156" s="9" t="s">
        <v>325</v>
      </c>
      <c r="I156" s="6">
        <v>1</v>
      </c>
      <c r="J156" s="6">
        <v>324.10000000000002</v>
      </c>
      <c r="K156" s="9">
        <f t="shared" si="8"/>
        <v>46023</v>
      </c>
      <c r="L156" s="32">
        <f t="shared" ca="1" si="9"/>
        <v>46278.541162037036</v>
      </c>
    </row>
    <row r="157" spans="1:12" ht="13.5">
      <c r="A157" s="6" t="s">
        <v>165</v>
      </c>
      <c r="B157" s="6" t="s">
        <v>291</v>
      </c>
      <c r="C157" s="6" t="s">
        <v>298</v>
      </c>
      <c r="D157" s="6" t="s">
        <v>306</v>
      </c>
      <c r="E157" s="7">
        <v>1209.22</v>
      </c>
      <c r="F157" s="6">
        <v>10</v>
      </c>
      <c r="G157" s="8">
        <v>0.15</v>
      </c>
      <c r="H157" s="9" t="s">
        <v>364</v>
      </c>
      <c r="I157" s="6">
        <v>6</v>
      </c>
      <c r="J157" s="6">
        <v>306.52</v>
      </c>
      <c r="K157" s="9">
        <f t="shared" si="8"/>
        <v>46174</v>
      </c>
      <c r="L157" s="32">
        <f t="shared" ca="1" si="9"/>
        <v>46278.541162037036</v>
      </c>
    </row>
    <row r="158" spans="1:12" ht="13.5">
      <c r="A158" s="6" t="s">
        <v>166</v>
      </c>
      <c r="B158" s="6" t="s">
        <v>273</v>
      </c>
      <c r="C158" s="6" t="s">
        <v>301</v>
      </c>
      <c r="D158" s="6" t="s">
        <v>303</v>
      </c>
      <c r="E158" s="7">
        <v>2068.85</v>
      </c>
      <c r="F158" s="6">
        <v>8</v>
      </c>
      <c r="G158" s="8">
        <v>0</v>
      </c>
      <c r="H158" s="9" t="s">
        <v>349</v>
      </c>
      <c r="I158" s="6">
        <v>6</v>
      </c>
      <c r="J158" s="6">
        <v>424.74</v>
      </c>
      <c r="K158" s="9">
        <f t="shared" si="8"/>
        <v>46174</v>
      </c>
      <c r="L158" s="32">
        <f t="shared" ca="1" si="9"/>
        <v>46278.541162037036</v>
      </c>
    </row>
    <row r="159" spans="1:12" ht="13.5">
      <c r="A159" s="6" t="s">
        <v>167</v>
      </c>
      <c r="B159" s="6" t="s">
        <v>278</v>
      </c>
      <c r="C159" s="6" t="s">
        <v>302</v>
      </c>
      <c r="D159" s="6" t="s">
        <v>305</v>
      </c>
      <c r="E159" s="7">
        <v>631.39</v>
      </c>
      <c r="F159" s="6">
        <v>3</v>
      </c>
      <c r="G159" s="8">
        <v>0</v>
      </c>
      <c r="H159" s="9" t="s">
        <v>412</v>
      </c>
      <c r="I159" s="6">
        <v>6</v>
      </c>
      <c r="J159" s="6">
        <v>200.25</v>
      </c>
      <c r="K159" s="9">
        <f t="shared" si="8"/>
        <v>46174</v>
      </c>
      <c r="L159" s="32">
        <f t="shared" ca="1" si="9"/>
        <v>46278.541162037036</v>
      </c>
    </row>
    <row r="160" spans="1:12" ht="13.5">
      <c r="A160" s="6" t="s">
        <v>168</v>
      </c>
      <c r="B160" s="6" t="s">
        <v>279</v>
      </c>
      <c r="C160" s="6" t="s">
        <v>299</v>
      </c>
      <c r="D160" s="6" t="s">
        <v>306</v>
      </c>
      <c r="E160" s="7">
        <v>1080.18</v>
      </c>
      <c r="F160" s="6">
        <v>8</v>
      </c>
      <c r="G160" s="8">
        <v>0.05</v>
      </c>
      <c r="H160" s="9" t="s">
        <v>413</v>
      </c>
      <c r="I160" s="6">
        <v>3</v>
      </c>
      <c r="J160" s="6">
        <v>392.16</v>
      </c>
      <c r="K160" s="9">
        <f t="shared" si="8"/>
        <v>46082</v>
      </c>
      <c r="L160" s="32">
        <f t="shared" ca="1" si="9"/>
        <v>46278.541162037036</v>
      </c>
    </row>
    <row r="161" spans="1:12" ht="13.5">
      <c r="A161" s="6" t="s">
        <v>169</v>
      </c>
      <c r="B161" s="6" t="s">
        <v>227</v>
      </c>
      <c r="C161" s="6" t="s">
        <v>298</v>
      </c>
      <c r="D161" s="6" t="s">
        <v>306</v>
      </c>
      <c r="E161" s="7">
        <v>1129.29</v>
      </c>
      <c r="F161" s="6">
        <v>9</v>
      </c>
      <c r="G161" s="8">
        <v>0.2</v>
      </c>
      <c r="H161" s="9" t="s">
        <v>354</v>
      </c>
      <c r="I161" s="6">
        <v>1</v>
      </c>
      <c r="J161" s="6">
        <v>242.9</v>
      </c>
      <c r="K161" s="9">
        <f t="shared" si="8"/>
        <v>46023</v>
      </c>
      <c r="L161" s="32">
        <f t="shared" ca="1" si="9"/>
        <v>46278.541162037036</v>
      </c>
    </row>
    <row r="162" spans="1:12" ht="13.5">
      <c r="A162" s="6" t="s">
        <v>170</v>
      </c>
      <c r="B162" s="6" t="s">
        <v>292</v>
      </c>
      <c r="C162" s="6" t="s">
        <v>301</v>
      </c>
      <c r="D162" s="6" t="s">
        <v>305</v>
      </c>
      <c r="E162" s="7">
        <v>1479.81</v>
      </c>
      <c r="F162" s="6">
        <v>8</v>
      </c>
      <c r="G162" s="8">
        <v>0.05</v>
      </c>
      <c r="H162" s="9" t="s">
        <v>414</v>
      </c>
      <c r="I162" s="6">
        <v>2</v>
      </c>
      <c r="J162" s="6">
        <v>373.85</v>
      </c>
      <c r="K162" s="9">
        <f t="shared" ref="K162:K193" si="10">EOMONTH(H162, -1) + 1</f>
        <v>46054</v>
      </c>
      <c r="L162" s="32">
        <f t="shared" ref="L162:L193" ca="1" si="11">NOW()</f>
        <v>46278.541162037036</v>
      </c>
    </row>
    <row r="163" spans="1:12" ht="13.5">
      <c r="A163" s="6" t="s">
        <v>171</v>
      </c>
      <c r="B163" s="6" t="s">
        <v>275</v>
      </c>
      <c r="C163" s="6" t="s">
        <v>299</v>
      </c>
      <c r="D163" s="6" t="s">
        <v>303</v>
      </c>
      <c r="E163" s="7">
        <v>1308.74</v>
      </c>
      <c r="F163" s="6">
        <v>6</v>
      </c>
      <c r="G163" s="8">
        <v>0.15</v>
      </c>
      <c r="H163" s="9" t="s">
        <v>415</v>
      </c>
      <c r="I163" s="6">
        <v>3</v>
      </c>
      <c r="J163" s="6">
        <v>331.97</v>
      </c>
      <c r="K163" s="9">
        <f t="shared" si="10"/>
        <v>46082</v>
      </c>
      <c r="L163" s="32">
        <f t="shared" ca="1" si="11"/>
        <v>46278.541162037036</v>
      </c>
    </row>
    <row r="164" spans="1:12" ht="13.5">
      <c r="A164" s="6" t="s">
        <v>172</v>
      </c>
      <c r="B164" s="6" t="s">
        <v>293</v>
      </c>
      <c r="C164" s="6" t="s">
        <v>300</v>
      </c>
      <c r="D164" s="6" t="s">
        <v>304</v>
      </c>
      <c r="E164" s="7">
        <v>418.9</v>
      </c>
      <c r="F164" s="6">
        <v>6</v>
      </c>
      <c r="G164" s="8">
        <v>0.15</v>
      </c>
      <c r="H164" s="9" t="s">
        <v>378</v>
      </c>
      <c r="I164" s="6">
        <v>6</v>
      </c>
      <c r="J164" s="6">
        <v>90.75</v>
      </c>
      <c r="K164" s="9">
        <f t="shared" si="10"/>
        <v>46174</v>
      </c>
      <c r="L164" s="32">
        <f t="shared" ca="1" si="11"/>
        <v>46278.541162037036</v>
      </c>
    </row>
    <row r="165" spans="1:12" ht="13.5">
      <c r="A165" s="6" t="s">
        <v>173</v>
      </c>
      <c r="B165" s="6" t="s">
        <v>241</v>
      </c>
      <c r="C165" s="6" t="s">
        <v>301</v>
      </c>
      <c r="D165" s="6" t="s">
        <v>306</v>
      </c>
      <c r="E165" s="7">
        <v>1223.69</v>
      </c>
      <c r="F165" s="6">
        <v>9</v>
      </c>
      <c r="G165" s="8">
        <v>0.1</v>
      </c>
      <c r="H165" s="9" t="s">
        <v>401</v>
      </c>
      <c r="I165" s="6">
        <v>3</v>
      </c>
      <c r="J165" s="6">
        <v>317.08999999999997</v>
      </c>
      <c r="K165" s="9">
        <f t="shared" si="10"/>
        <v>46082</v>
      </c>
      <c r="L165" s="32">
        <f t="shared" ca="1" si="11"/>
        <v>46278.541162037036</v>
      </c>
    </row>
    <row r="166" spans="1:12" ht="13.5">
      <c r="A166" s="6" t="s">
        <v>174</v>
      </c>
      <c r="B166" s="6" t="s">
        <v>250</v>
      </c>
      <c r="C166" s="6" t="s">
        <v>298</v>
      </c>
      <c r="D166" s="6" t="s">
        <v>306</v>
      </c>
      <c r="E166" s="7">
        <v>991.5</v>
      </c>
      <c r="F166" s="6">
        <v>9</v>
      </c>
      <c r="G166" s="8">
        <v>0.2</v>
      </c>
      <c r="H166" s="9" t="s">
        <v>383</v>
      </c>
      <c r="I166" s="6">
        <v>3</v>
      </c>
      <c r="J166" s="6">
        <v>285.83999999999997</v>
      </c>
      <c r="K166" s="9">
        <f t="shared" si="10"/>
        <v>46082</v>
      </c>
      <c r="L166" s="32">
        <f t="shared" ca="1" si="11"/>
        <v>46278.541162037036</v>
      </c>
    </row>
    <row r="167" spans="1:12" ht="13.5">
      <c r="A167" s="6" t="s">
        <v>175</v>
      </c>
      <c r="B167" s="6" t="s">
        <v>238</v>
      </c>
      <c r="C167" s="6" t="s">
        <v>301</v>
      </c>
      <c r="D167" s="6" t="s">
        <v>305</v>
      </c>
      <c r="E167" s="7">
        <v>1269.8</v>
      </c>
      <c r="F167" s="6">
        <v>7</v>
      </c>
      <c r="G167" s="8">
        <v>0.15</v>
      </c>
      <c r="H167" s="9" t="s">
        <v>407</v>
      </c>
      <c r="I167" s="6">
        <v>3</v>
      </c>
      <c r="J167" s="6">
        <v>256.77999999999997</v>
      </c>
      <c r="K167" s="9">
        <f t="shared" si="10"/>
        <v>46082</v>
      </c>
      <c r="L167" s="32">
        <f t="shared" ca="1" si="11"/>
        <v>46278.541162037036</v>
      </c>
    </row>
    <row r="168" spans="1:12" ht="13.5">
      <c r="A168" s="6" t="s">
        <v>176</v>
      </c>
      <c r="B168" s="6" t="s">
        <v>270</v>
      </c>
      <c r="C168" s="6" t="s">
        <v>301</v>
      </c>
      <c r="D168" s="6" t="s">
        <v>304</v>
      </c>
      <c r="E168" s="7">
        <v>493.65</v>
      </c>
      <c r="F168" s="6">
        <v>8</v>
      </c>
      <c r="G168" s="8">
        <v>0.2</v>
      </c>
      <c r="H168" s="9" t="s">
        <v>416</v>
      </c>
      <c r="I168" s="6">
        <v>1</v>
      </c>
      <c r="J168" s="6">
        <v>144.26</v>
      </c>
      <c r="K168" s="9">
        <f t="shared" si="10"/>
        <v>46023</v>
      </c>
      <c r="L168" s="32">
        <f t="shared" ca="1" si="11"/>
        <v>46278.541162037036</v>
      </c>
    </row>
    <row r="169" spans="1:12" ht="13.5">
      <c r="A169" s="6" t="s">
        <v>177</v>
      </c>
      <c r="B169" s="6" t="s">
        <v>225</v>
      </c>
      <c r="C169" s="6" t="s">
        <v>301</v>
      </c>
      <c r="D169" s="6" t="s">
        <v>304</v>
      </c>
      <c r="E169" s="7">
        <v>427.41</v>
      </c>
      <c r="F169" s="6">
        <v>6</v>
      </c>
      <c r="G169" s="8">
        <v>0.05</v>
      </c>
      <c r="H169" s="9" t="s">
        <v>414</v>
      </c>
      <c r="I169" s="6">
        <v>2</v>
      </c>
      <c r="J169" s="6">
        <v>152.19</v>
      </c>
      <c r="K169" s="9">
        <f t="shared" si="10"/>
        <v>46054</v>
      </c>
      <c r="L169" s="32">
        <f t="shared" ca="1" si="11"/>
        <v>46278.541162037036</v>
      </c>
    </row>
    <row r="170" spans="1:12" ht="13.5">
      <c r="A170" s="6" t="s">
        <v>178</v>
      </c>
      <c r="B170" s="6" t="s">
        <v>242</v>
      </c>
      <c r="C170" s="6" t="s">
        <v>302</v>
      </c>
      <c r="D170" s="6" t="s">
        <v>304</v>
      </c>
      <c r="E170" s="7">
        <v>247.02</v>
      </c>
      <c r="F170" s="6">
        <v>4</v>
      </c>
      <c r="G170" s="8">
        <v>0.15</v>
      </c>
      <c r="H170" s="9" t="s">
        <v>417</v>
      </c>
      <c r="I170" s="6">
        <v>2</v>
      </c>
      <c r="J170" s="6">
        <v>40.549999999999997</v>
      </c>
      <c r="K170" s="9">
        <f t="shared" si="10"/>
        <v>46054</v>
      </c>
      <c r="L170" s="32">
        <f t="shared" ca="1" si="11"/>
        <v>46278.541162037036</v>
      </c>
    </row>
    <row r="171" spans="1:12" ht="13.5">
      <c r="A171" s="6" t="s">
        <v>179</v>
      </c>
      <c r="B171" s="6" t="s">
        <v>250</v>
      </c>
      <c r="C171" s="6" t="s">
        <v>300</v>
      </c>
      <c r="D171" s="6" t="s">
        <v>305</v>
      </c>
      <c r="E171" s="7">
        <v>814.54</v>
      </c>
      <c r="F171" s="6">
        <v>4</v>
      </c>
      <c r="G171" s="8">
        <v>0</v>
      </c>
      <c r="H171" s="9" t="s">
        <v>418</v>
      </c>
      <c r="I171" s="6">
        <v>5</v>
      </c>
      <c r="J171" s="6">
        <v>174.21</v>
      </c>
      <c r="K171" s="9">
        <f t="shared" si="10"/>
        <v>46143</v>
      </c>
      <c r="L171" s="32">
        <f t="shared" ca="1" si="11"/>
        <v>46278.541162037036</v>
      </c>
    </row>
    <row r="172" spans="1:12" ht="13.5">
      <c r="A172" s="6" t="s">
        <v>180</v>
      </c>
      <c r="B172" s="6" t="s">
        <v>271</v>
      </c>
      <c r="C172" s="6" t="s">
        <v>298</v>
      </c>
      <c r="D172" s="6" t="s">
        <v>303</v>
      </c>
      <c r="E172" s="7">
        <v>2200.46</v>
      </c>
      <c r="F172" s="6">
        <v>10</v>
      </c>
      <c r="G172" s="8">
        <v>0.15</v>
      </c>
      <c r="H172" s="9" t="s">
        <v>349</v>
      </c>
      <c r="I172" s="6">
        <v>6</v>
      </c>
      <c r="J172" s="6">
        <v>319.41000000000003</v>
      </c>
      <c r="K172" s="9">
        <f t="shared" si="10"/>
        <v>46174</v>
      </c>
      <c r="L172" s="32">
        <f t="shared" ca="1" si="11"/>
        <v>46278.541162037036</v>
      </c>
    </row>
    <row r="173" spans="1:12" ht="13.5">
      <c r="A173" s="6" t="s">
        <v>181</v>
      </c>
      <c r="B173" s="6" t="s">
        <v>219</v>
      </c>
      <c r="C173" s="6" t="s">
        <v>298</v>
      </c>
      <c r="D173" s="6" t="s">
        <v>306</v>
      </c>
      <c r="E173" s="7">
        <v>758.79</v>
      </c>
      <c r="F173" s="6">
        <v>7</v>
      </c>
      <c r="G173" s="8">
        <v>0.2</v>
      </c>
      <c r="H173" s="9" t="s">
        <v>357</v>
      </c>
      <c r="I173" s="6">
        <v>4</v>
      </c>
      <c r="J173" s="6">
        <v>78.64</v>
      </c>
      <c r="K173" s="9">
        <f t="shared" si="10"/>
        <v>46113</v>
      </c>
      <c r="L173" s="32">
        <f t="shared" ca="1" si="11"/>
        <v>46278.541162037036</v>
      </c>
    </row>
    <row r="174" spans="1:12" ht="13.5">
      <c r="A174" s="6" t="s">
        <v>182</v>
      </c>
      <c r="B174" s="6" t="s">
        <v>235</v>
      </c>
      <c r="C174" s="6" t="s">
        <v>298</v>
      </c>
      <c r="D174" s="6" t="s">
        <v>305</v>
      </c>
      <c r="E174" s="7">
        <v>681.64</v>
      </c>
      <c r="F174" s="6">
        <v>4</v>
      </c>
      <c r="G174" s="8">
        <v>0.15</v>
      </c>
      <c r="H174" s="9" t="s">
        <v>308</v>
      </c>
      <c r="I174" s="6">
        <v>1</v>
      </c>
      <c r="J174" s="6">
        <v>98.08</v>
      </c>
      <c r="K174" s="9">
        <f t="shared" si="10"/>
        <v>46023</v>
      </c>
      <c r="L174" s="32">
        <f t="shared" ca="1" si="11"/>
        <v>46278.541162037036</v>
      </c>
    </row>
    <row r="175" spans="1:12" ht="13.5">
      <c r="A175" s="6" t="s">
        <v>183</v>
      </c>
      <c r="B175" s="6" t="s">
        <v>267</v>
      </c>
      <c r="C175" s="6" t="s">
        <v>299</v>
      </c>
      <c r="D175" s="6" t="s">
        <v>304</v>
      </c>
      <c r="E175" s="7">
        <v>476.43</v>
      </c>
      <c r="F175" s="6">
        <v>7</v>
      </c>
      <c r="G175" s="8">
        <v>0.1</v>
      </c>
      <c r="H175" s="9" t="s">
        <v>417</v>
      </c>
      <c r="I175" s="6">
        <v>2</v>
      </c>
      <c r="J175" s="6">
        <v>136.55000000000001</v>
      </c>
      <c r="K175" s="9">
        <f t="shared" si="10"/>
        <v>46054</v>
      </c>
      <c r="L175" s="32">
        <f t="shared" ca="1" si="11"/>
        <v>46278.541162037036</v>
      </c>
    </row>
    <row r="176" spans="1:12" ht="13.5">
      <c r="A176" s="6" t="s">
        <v>184</v>
      </c>
      <c r="B176" s="6" t="s">
        <v>293</v>
      </c>
      <c r="C176" s="6" t="s">
        <v>298</v>
      </c>
      <c r="D176" s="6" t="s">
        <v>306</v>
      </c>
      <c r="E176" s="7">
        <v>154.36000000000001</v>
      </c>
      <c r="F176" s="6">
        <v>1</v>
      </c>
      <c r="G176" s="8">
        <v>0</v>
      </c>
      <c r="H176" s="9" t="s">
        <v>366</v>
      </c>
      <c r="I176" s="6">
        <v>6</v>
      </c>
      <c r="J176" s="6">
        <v>33.07</v>
      </c>
      <c r="K176" s="9">
        <f t="shared" si="10"/>
        <v>46174</v>
      </c>
      <c r="L176" s="32">
        <f t="shared" ca="1" si="11"/>
        <v>46278.541162037036</v>
      </c>
    </row>
    <row r="177" spans="1:12" ht="13.5">
      <c r="A177" s="6" t="s">
        <v>185</v>
      </c>
      <c r="B177" s="6" t="s">
        <v>259</v>
      </c>
      <c r="C177" s="6" t="s">
        <v>298</v>
      </c>
      <c r="D177" s="6" t="s">
        <v>306</v>
      </c>
      <c r="E177" s="7">
        <v>757.25</v>
      </c>
      <c r="F177" s="6">
        <v>6</v>
      </c>
      <c r="G177" s="8">
        <v>0.1</v>
      </c>
      <c r="H177" s="9" t="s">
        <v>354</v>
      </c>
      <c r="I177" s="6">
        <v>1</v>
      </c>
      <c r="J177" s="6">
        <v>161.9</v>
      </c>
      <c r="K177" s="9">
        <f t="shared" si="10"/>
        <v>46023</v>
      </c>
      <c r="L177" s="32">
        <f t="shared" ca="1" si="11"/>
        <v>46278.541162037036</v>
      </c>
    </row>
    <row r="178" spans="1:12" ht="13.5">
      <c r="A178" s="6" t="s">
        <v>186</v>
      </c>
      <c r="B178" s="6" t="s">
        <v>294</v>
      </c>
      <c r="C178" s="6" t="s">
        <v>300</v>
      </c>
      <c r="D178" s="6" t="s">
        <v>304</v>
      </c>
      <c r="E178" s="7">
        <v>631.22</v>
      </c>
      <c r="F178" s="6">
        <v>8</v>
      </c>
      <c r="G178" s="8">
        <v>0.05</v>
      </c>
      <c r="H178" s="9" t="s">
        <v>391</v>
      </c>
      <c r="I178" s="6">
        <v>1</v>
      </c>
      <c r="J178" s="6">
        <v>217.12</v>
      </c>
      <c r="K178" s="9">
        <f t="shared" si="10"/>
        <v>46023</v>
      </c>
      <c r="L178" s="32">
        <f t="shared" ca="1" si="11"/>
        <v>46278.541162037036</v>
      </c>
    </row>
    <row r="179" spans="1:12" ht="13.5">
      <c r="A179" s="6" t="s">
        <v>187</v>
      </c>
      <c r="B179" s="6" t="s">
        <v>261</v>
      </c>
      <c r="C179" s="6" t="s">
        <v>299</v>
      </c>
      <c r="D179" s="6" t="s">
        <v>304</v>
      </c>
      <c r="E179" s="7">
        <v>465.22</v>
      </c>
      <c r="F179" s="6">
        <v>7</v>
      </c>
      <c r="G179" s="8">
        <v>0.15</v>
      </c>
      <c r="H179" s="9" t="s">
        <v>371</v>
      </c>
      <c r="I179" s="6">
        <v>5</v>
      </c>
      <c r="J179" s="6">
        <v>60.32</v>
      </c>
      <c r="K179" s="9">
        <f t="shared" si="10"/>
        <v>46143</v>
      </c>
      <c r="L179" s="32">
        <f t="shared" ca="1" si="11"/>
        <v>46278.541162037036</v>
      </c>
    </row>
    <row r="180" spans="1:12" ht="13.5">
      <c r="A180" s="6" t="s">
        <v>188</v>
      </c>
      <c r="B180" s="6" t="s">
        <v>239</v>
      </c>
      <c r="C180" s="6" t="s">
        <v>299</v>
      </c>
      <c r="D180" s="6" t="s">
        <v>306</v>
      </c>
      <c r="E180" s="7">
        <v>970.46</v>
      </c>
      <c r="F180" s="6">
        <v>7</v>
      </c>
      <c r="G180" s="8">
        <v>0.15</v>
      </c>
      <c r="H180" s="9" t="s">
        <v>312</v>
      </c>
      <c r="I180" s="6">
        <v>2</v>
      </c>
      <c r="J180" s="6">
        <v>279.39</v>
      </c>
      <c r="K180" s="9">
        <f t="shared" si="10"/>
        <v>46054</v>
      </c>
      <c r="L180" s="32">
        <f t="shared" ca="1" si="11"/>
        <v>46278.541162037036</v>
      </c>
    </row>
    <row r="181" spans="1:12" ht="13.5">
      <c r="A181" s="6" t="s">
        <v>189</v>
      </c>
      <c r="B181" s="6" t="s">
        <v>256</v>
      </c>
      <c r="C181" s="6" t="s">
        <v>301</v>
      </c>
      <c r="D181" s="6" t="s">
        <v>306</v>
      </c>
      <c r="E181" s="7">
        <v>396.51</v>
      </c>
      <c r="F181" s="6">
        <v>3</v>
      </c>
      <c r="G181" s="8">
        <v>0.05</v>
      </c>
      <c r="H181" s="9" t="s">
        <v>419</v>
      </c>
      <c r="I181" s="6">
        <v>4</v>
      </c>
      <c r="J181" s="6">
        <v>91.74</v>
      </c>
      <c r="K181" s="9">
        <f t="shared" si="10"/>
        <v>46113</v>
      </c>
      <c r="L181" s="32">
        <f t="shared" ca="1" si="11"/>
        <v>46278.541162037036</v>
      </c>
    </row>
    <row r="182" spans="1:12" ht="13.5">
      <c r="A182" s="6" t="s">
        <v>190</v>
      </c>
      <c r="B182" s="6" t="s">
        <v>283</v>
      </c>
      <c r="C182" s="6" t="s">
        <v>302</v>
      </c>
      <c r="D182" s="6" t="s">
        <v>303</v>
      </c>
      <c r="E182" s="7">
        <v>1742.78</v>
      </c>
      <c r="F182" s="6">
        <v>8</v>
      </c>
      <c r="G182" s="8">
        <v>0.1</v>
      </c>
      <c r="H182" s="9" t="s">
        <v>334</v>
      </c>
      <c r="I182" s="6">
        <v>4</v>
      </c>
      <c r="J182" s="6">
        <v>302.60000000000002</v>
      </c>
      <c r="K182" s="9">
        <f t="shared" si="10"/>
        <v>46113</v>
      </c>
      <c r="L182" s="32">
        <f t="shared" ca="1" si="11"/>
        <v>46278.541162037036</v>
      </c>
    </row>
    <row r="183" spans="1:12" ht="13.5">
      <c r="A183" s="6" t="s">
        <v>191</v>
      </c>
      <c r="B183" s="6" t="s">
        <v>216</v>
      </c>
      <c r="C183" s="6" t="s">
        <v>299</v>
      </c>
      <c r="D183" s="6" t="s">
        <v>303</v>
      </c>
      <c r="E183" s="7">
        <v>230.67</v>
      </c>
      <c r="F183" s="6">
        <v>1</v>
      </c>
      <c r="G183" s="8">
        <v>0</v>
      </c>
      <c r="H183" s="9" t="s">
        <v>373</v>
      </c>
      <c r="I183" s="6">
        <v>4</v>
      </c>
      <c r="J183" s="6">
        <v>78.28</v>
      </c>
      <c r="K183" s="9">
        <f t="shared" si="10"/>
        <v>46113</v>
      </c>
      <c r="L183" s="32">
        <f t="shared" ca="1" si="11"/>
        <v>46278.541162037036</v>
      </c>
    </row>
    <row r="184" spans="1:12" ht="13.5">
      <c r="A184" s="6" t="s">
        <v>192</v>
      </c>
      <c r="B184" s="6" t="s">
        <v>236</v>
      </c>
      <c r="C184" s="6" t="s">
        <v>299</v>
      </c>
      <c r="D184" s="6" t="s">
        <v>305</v>
      </c>
      <c r="E184" s="7">
        <v>585.87</v>
      </c>
      <c r="F184" s="6">
        <v>3</v>
      </c>
      <c r="G184" s="8">
        <v>0.1</v>
      </c>
      <c r="H184" s="9" t="s">
        <v>420</v>
      </c>
      <c r="I184" s="6">
        <v>3</v>
      </c>
      <c r="J184" s="6">
        <v>161.58000000000001</v>
      </c>
      <c r="K184" s="9">
        <f t="shared" si="10"/>
        <v>46082</v>
      </c>
      <c r="L184" s="32">
        <f t="shared" ca="1" si="11"/>
        <v>46278.541162037036</v>
      </c>
    </row>
    <row r="185" spans="1:12" ht="13.5">
      <c r="A185" s="6" t="s">
        <v>193</v>
      </c>
      <c r="B185" s="6" t="s">
        <v>285</v>
      </c>
      <c r="C185" s="6" t="s">
        <v>300</v>
      </c>
      <c r="D185" s="6" t="s">
        <v>306</v>
      </c>
      <c r="E185" s="7">
        <v>1161.51</v>
      </c>
      <c r="F185" s="6">
        <v>9</v>
      </c>
      <c r="G185" s="8">
        <v>0.2</v>
      </c>
      <c r="H185" s="9" t="s">
        <v>421</v>
      </c>
      <c r="I185" s="6">
        <v>2</v>
      </c>
      <c r="J185" s="6">
        <v>319.99</v>
      </c>
      <c r="K185" s="9">
        <f t="shared" si="10"/>
        <v>46054</v>
      </c>
      <c r="L185" s="32">
        <f t="shared" ca="1" si="11"/>
        <v>46278.541162037036</v>
      </c>
    </row>
    <row r="186" spans="1:12" ht="13.5">
      <c r="A186" s="6" t="s">
        <v>194</v>
      </c>
      <c r="B186" s="6" t="s">
        <v>295</v>
      </c>
      <c r="C186" s="6" t="s">
        <v>298</v>
      </c>
      <c r="D186" s="6" t="s">
        <v>303</v>
      </c>
      <c r="E186" s="7">
        <v>2141.0700000000002</v>
      </c>
      <c r="F186" s="6">
        <v>10</v>
      </c>
      <c r="G186" s="8">
        <v>0.1</v>
      </c>
      <c r="H186" s="9" t="s">
        <v>408</v>
      </c>
      <c r="I186" s="6">
        <v>4</v>
      </c>
      <c r="J186" s="6">
        <v>635.92999999999995</v>
      </c>
      <c r="K186" s="9">
        <f t="shared" si="10"/>
        <v>46113</v>
      </c>
      <c r="L186" s="32">
        <f t="shared" ca="1" si="11"/>
        <v>46278.541162037036</v>
      </c>
    </row>
    <row r="187" spans="1:12" ht="13.5">
      <c r="A187" s="6" t="s">
        <v>195</v>
      </c>
      <c r="B187" s="6" t="s">
        <v>249</v>
      </c>
      <c r="C187" s="6" t="s">
        <v>299</v>
      </c>
      <c r="D187" s="6" t="s">
        <v>306</v>
      </c>
      <c r="E187" s="7">
        <v>928.8</v>
      </c>
      <c r="F187" s="6">
        <v>6</v>
      </c>
      <c r="G187" s="8">
        <v>0</v>
      </c>
      <c r="H187" s="9" t="s">
        <v>401</v>
      </c>
      <c r="I187" s="6">
        <v>3</v>
      </c>
      <c r="J187" s="6">
        <v>335.01</v>
      </c>
      <c r="K187" s="9">
        <f t="shared" si="10"/>
        <v>46082</v>
      </c>
      <c r="L187" s="32">
        <f t="shared" ca="1" si="11"/>
        <v>46278.541162037036</v>
      </c>
    </row>
    <row r="188" spans="1:12" ht="13.5">
      <c r="A188" s="6" t="s">
        <v>196</v>
      </c>
      <c r="B188" s="6" t="s">
        <v>231</v>
      </c>
      <c r="C188" s="6" t="s">
        <v>299</v>
      </c>
      <c r="D188" s="6" t="s">
        <v>304</v>
      </c>
      <c r="E188" s="7">
        <v>144.63</v>
      </c>
      <c r="F188" s="6">
        <v>2</v>
      </c>
      <c r="G188" s="8">
        <v>0.15</v>
      </c>
      <c r="H188" s="9" t="s">
        <v>369</v>
      </c>
      <c r="I188" s="6">
        <v>3</v>
      </c>
      <c r="J188" s="6">
        <v>26.24</v>
      </c>
      <c r="K188" s="9">
        <f t="shared" si="10"/>
        <v>46082</v>
      </c>
      <c r="L188" s="32">
        <f t="shared" ca="1" si="11"/>
        <v>46278.541162037036</v>
      </c>
    </row>
    <row r="189" spans="1:12" ht="13.5">
      <c r="A189" s="6" t="s">
        <v>197</v>
      </c>
      <c r="B189" s="6" t="s">
        <v>284</v>
      </c>
      <c r="C189" s="6" t="s">
        <v>302</v>
      </c>
      <c r="D189" s="6" t="s">
        <v>303</v>
      </c>
      <c r="E189" s="7">
        <v>1819.87</v>
      </c>
      <c r="F189" s="6">
        <v>8</v>
      </c>
      <c r="G189" s="8">
        <v>0.1</v>
      </c>
      <c r="H189" s="9" t="s">
        <v>422</v>
      </c>
      <c r="I189" s="6">
        <v>5</v>
      </c>
      <c r="J189" s="6">
        <v>337.56</v>
      </c>
      <c r="K189" s="9">
        <f t="shared" si="10"/>
        <v>46143</v>
      </c>
      <c r="L189" s="32">
        <f t="shared" ca="1" si="11"/>
        <v>46278.541162037036</v>
      </c>
    </row>
    <row r="190" spans="1:12" ht="13.5">
      <c r="A190" s="6" t="s">
        <v>198</v>
      </c>
      <c r="B190" s="6" t="s">
        <v>216</v>
      </c>
      <c r="C190" s="6" t="s">
        <v>300</v>
      </c>
      <c r="D190" s="6" t="s">
        <v>304</v>
      </c>
      <c r="E190" s="7">
        <v>152.9</v>
      </c>
      <c r="F190" s="6">
        <v>2</v>
      </c>
      <c r="G190" s="8">
        <v>0.05</v>
      </c>
      <c r="H190" s="9" t="s">
        <v>316</v>
      </c>
      <c r="I190" s="6">
        <v>6</v>
      </c>
      <c r="J190" s="6">
        <v>49.71</v>
      </c>
      <c r="K190" s="9">
        <f t="shared" si="10"/>
        <v>46174</v>
      </c>
      <c r="L190" s="32">
        <f t="shared" ca="1" si="11"/>
        <v>46278.541162037036</v>
      </c>
    </row>
    <row r="191" spans="1:12" ht="13.5">
      <c r="A191" s="6" t="s">
        <v>199</v>
      </c>
      <c r="B191" s="6" t="s">
        <v>296</v>
      </c>
      <c r="C191" s="6" t="s">
        <v>302</v>
      </c>
      <c r="D191" s="6" t="s">
        <v>304</v>
      </c>
      <c r="E191" s="7">
        <v>682.83</v>
      </c>
      <c r="F191" s="6">
        <v>9</v>
      </c>
      <c r="G191" s="8">
        <v>0</v>
      </c>
      <c r="H191" s="9" t="s">
        <v>392</v>
      </c>
      <c r="I191" s="6">
        <v>1</v>
      </c>
      <c r="J191" s="6">
        <v>246.75</v>
      </c>
      <c r="K191" s="9">
        <f t="shared" si="10"/>
        <v>46023</v>
      </c>
      <c r="L191" s="32">
        <f t="shared" ca="1" si="11"/>
        <v>46278.541162037036</v>
      </c>
    </row>
    <row r="192" spans="1:12" ht="13.5">
      <c r="A192" s="6" t="s">
        <v>200</v>
      </c>
      <c r="B192" s="6" t="s">
        <v>262</v>
      </c>
      <c r="C192" s="6" t="s">
        <v>299</v>
      </c>
      <c r="D192" s="6" t="s">
        <v>304</v>
      </c>
      <c r="E192" s="7">
        <v>499.73</v>
      </c>
      <c r="F192" s="6">
        <v>8</v>
      </c>
      <c r="G192" s="8">
        <v>0.15</v>
      </c>
      <c r="H192" s="9" t="s">
        <v>332</v>
      </c>
      <c r="I192" s="6">
        <v>1</v>
      </c>
      <c r="J192" s="6">
        <v>161.46</v>
      </c>
      <c r="K192" s="9">
        <f t="shared" si="10"/>
        <v>46023</v>
      </c>
      <c r="L192" s="32">
        <f t="shared" ca="1" si="11"/>
        <v>46278.541162037036</v>
      </c>
    </row>
    <row r="193" spans="1:12" ht="13.5">
      <c r="A193" s="6" t="s">
        <v>201</v>
      </c>
      <c r="B193" s="6" t="s">
        <v>230</v>
      </c>
      <c r="C193" s="6" t="s">
        <v>299</v>
      </c>
      <c r="D193" s="6" t="s">
        <v>305</v>
      </c>
      <c r="E193" s="7">
        <v>215.89</v>
      </c>
      <c r="F193" s="6">
        <v>1</v>
      </c>
      <c r="G193" s="8">
        <v>0</v>
      </c>
      <c r="H193" s="9" t="s">
        <v>390</v>
      </c>
      <c r="I193" s="6">
        <v>2</v>
      </c>
      <c r="J193" s="6">
        <v>60.99</v>
      </c>
      <c r="K193" s="9">
        <f t="shared" si="10"/>
        <v>46054</v>
      </c>
      <c r="L193" s="32">
        <f t="shared" ca="1" si="11"/>
        <v>46278.541162037036</v>
      </c>
    </row>
    <row r="194" spans="1:12" ht="13.5">
      <c r="A194" s="6" t="s">
        <v>202</v>
      </c>
      <c r="B194" s="6" t="s">
        <v>259</v>
      </c>
      <c r="C194" s="6" t="s">
        <v>300</v>
      </c>
      <c r="D194" s="6" t="s">
        <v>304</v>
      </c>
      <c r="E194" s="7">
        <v>246.26</v>
      </c>
      <c r="F194" s="6">
        <v>3</v>
      </c>
      <c r="G194" s="8">
        <v>0.05</v>
      </c>
      <c r="H194" s="9" t="s">
        <v>421</v>
      </c>
      <c r="I194" s="6">
        <v>2</v>
      </c>
      <c r="J194" s="6">
        <v>61.42</v>
      </c>
      <c r="K194" s="9">
        <f t="shared" ref="K194:K201" si="12">EOMONTH(H194, -1) + 1</f>
        <v>46054</v>
      </c>
      <c r="L194" s="32">
        <f t="shared" ref="L194:L201" ca="1" si="13">NOW()</f>
        <v>46278.541162037036</v>
      </c>
    </row>
    <row r="195" spans="1:12" ht="13.5">
      <c r="A195" s="6" t="s">
        <v>203</v>
      </c>
      <c r="B195" s="6" t="s">
        <v>278</v>
      </c>
      <c r="C195" s="6" t="s">
        <v>301</v>
      </c>
      <c r="D195" s="6" t="s">
        <v>305</v>
      </c>
      <c r="E195" s="7">
        <v>1149.81</v>
      </c>
      <c r="F195" s="6">
        <v>7</v>
      </c>
      <c r="G195" s="8">
        <v>0.2</v>
      </c>
      <c r="H195" s="9" t="s">
        <v>423</v>
      </c>
      <c r="I195" s="6">
        <v>6</v>
      </c>
      <c r="J195" s="6">
        <v>293.52999999999997</v>
      </c>
      <c r="K195" s="9">
        <f t="shared" si="12"/>
        <v>46174</v>
      </c>
      <c r="L195" s="32">
        <f t="shared" ca="1" si="13"/>
        <v>46278.541162037036</v>
      </c>
    </row>
    <row r="196" spans="1:12" ht="13.5">
      <c r="A196" s="6" t="s">
        <v>204</v>
      </c>
      <c r="B196" s="6" t="s">
        <v>258</v>
      </c>
      <c r="C196" s="6" t="s">
        <v>301</v>
      </c>
      <c r="D196" s="6" t="s">
        <v>306</v>
      </c>
      <c r="E196" s="7">
        <v>435.51</v>
      </c>
      <c r="F196" s="6">
        <v>3</v>
      </c>
      <c r="G196" s="8">
        <v>0</v>
      </c>
      <c r="H196" s="9" t="s">
        <v>424</v>
      </c>
      <c r="I196" s="6">
        <v>1</v>
      </c>
      <c r="J196" s="6">
        <v>116.79</v>
      </c>
      <c r="K196" s="9">
        <f t="shared" si="12"/>
        <v>46023</v>
      </c>
      <c r="L196" s="32">
        <f t="shared" ca="1" si="13"/>
        <v>46278.541162037036</v>
      </c>
    </row>
    <row r="197" spans="1:12" ht="13.5">
      <c r="A197" s="6" t="s">
        <v>205</v>
      </c>
      <c r="B197" s="6" t="s">
        <v>243</v>
      </c>
      <c r="C197" s="6" t="s">
        <v>299</v>
      </c>
      <c r="D197" s="6" t="s">
        <v>306</v>
      </c>
      <c r="E197" s="7">
        <v>290.95</v>
      </c>
      <c r="F197" s="6">
        <v>2</v>
      </c>
      <c r="G197" s="8">
        <v>0</v>
      </c>
      <c r="H197" s="9" t="s">
        <v>411</v>
      </c>
      <c r="I197" s="6">
        <v>6</v>
      </c>
      <c r="J197" s="6">
        <v>112.35</v>
      </c>
      <c r="K197" s="9">
        <f t="shared" si="12"/>
        <v>46174</v>
      </c>
      <c r="L197" s="32">
        <f t="shared" ca="1" si="13"/>
        <v>46278.541162037036</v>
      </c>
    </row>
    <row r="198" spans="1:12" ht="13.5">
      <c r="A198" s="6" t="s">
        <v>206</v>
      </c>
      <c r="B198" s="6" t="s">
        <v>239</v>
      </c>
      <c r="C198" s="6" t="s">
        <v>299</v>
      </c>
      <c r="D198" s="6" t="s">
        <v>303</v>
      </c>
      <c r="E198" s="7">
        <v>1881.34</v>
      </c>
      <c r="F198" s="6">
        <v>8</v>
      </c>
      <c r="G198" s="8">
        <v>0.1</v>
      </c>
      <c r="H198" s="9" t="s">
        <v>363</v>
      </c>
      <c r="I198" s="6">
        <v>1</v>
      </c>
      <c r="J198" s="6">
        <v>605.19000000000005</v>
      </c>
      <c r="K198" s="9">
        <f t="shared" si="12"/>
        <v>46023</v>
      </c>
      <c r="L198" s="32">
        <f t="shared" ca="1" si="13"/>
        <v>46278.541162037036</v>
      </c>
    </row>
    <row r="199" spans="1:12" ht="13.5">
      <c r="A199" s="6" t="s">
        <v>207</v>
      </c>
      <c r="B199" s="6" t="s">
        <v>233</v>
      </c>
      <c r="C199" s="6" t="s">
        <v>302</v>
      </c>
      <c r="D199" s="6" t="s">
        <v>303</v>
      </c>
      <c r="E199" s="7">
        <v>1281.81</v>
      </c>
      <c r="F199" s="6">
        <v>5</v>
      </c>
      <c r="G199" s="8">
        <v>0.05</v>
      </c>
      <c r="H199" s="9" t="s">
        <v>415</v>
      </c>
      <c r="I199" s="6">
        <v>3</v>
      </c>
      <c r="J199" s="6">
        <v>334.29</v>
      </c>
      <c r="K199" s="9">
        <f t="shared" si="12"/>
        <v>46082</v>
      </c>
      <c r="L199" s="32">
        <f t="shared" ca="1" si="13"/>
        <v>46278.541162037036</v>
      </c>
    </row>
    <row r="200" spans="1:12" ht="13.5">
      <c r="A200" s="6" t="s">
        <v>208</v>
      </c>
      <c r="B200" s="6" t="s">
        <v>297</v>
      </c>
      <c r="C200" s="6" t="s">
        <v>302</v>
      </c>
      <c r="D200" s="6" t="s">
        <v>305</v>
      </c>
      <c r="E200" s="7">
        <v>1228.26</v>
      </c>
      <c r="F200" s="6">
        <v>6</v>
      </c>
      <c r="G200" s="8">
        <v>0.05</v>
      </c>
      <c r="H200" s="9" t="s">
        <v>361</v>
      </c>
      <c r="I200" s="6">
        <v>4</v>
      </c>
      <c r="J200" s="6">
        <v>399.4</v>
      </c>
      <c r="K200" s="9">
        <f t="shared" si="12"/>
        <v>46113</v>
      </c>
      <c r="L200" s="32">
        <f t="shared" ca="1" si="13"/>
        <v>46278.541162037036</v>
      </c>
    </row>
    <row r="201" spans="1:12" ht="13.5">
      <c r="A201" s="6" t="s">
        <v>209</v>
      </c>
      <c r="B201" s="6" t="s">
        <v>255</v>
      </c>
      <c r="C201" s="6" t="s">
        <v>302</v>
      </c>
      <c r="D201" s="6" t="s">
        <v>306</v>
      </c>
      <c r="E201" s="7">
        <v>1267.17</v>
      </c>
      <c r="F201" s="6">
        <v>10</v>
      </c>
      <c r="G201" s="8">
        <v>0.2</v>
      </c>
      <c r="H201" s="9" t="s">
        <v>324</v>
      </c>
      <c r="I201" s="6">
        <v>6</v>
      </c>
      <c r="J201" s="6">
        <v>317.94</v>
      </c>
      <c r="K201" s="9">
        <f t="shared" si="12"/>
        <v>46174</v>
      </c>
      <c r="L201" s="32">
        <f t="shared" ca="1" si="13"/>
        <v>46278.541162037036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CustomerSummary</vt:lpstr>
      <vt:lpstr>MonthlySales</vt:lpstr>
      <vt:lpstr>PivotTable</vt:lpstr>
      <vt:lpstr>WhatIf</vt:lpstr>
      <vt:lpstr>DescriptiveStats</vt:lpstr>
      <vt:lpstr>Regression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tejas Varma</cp:lastModifiedBy>
  <dcterms:created xsi:type="dcterms:W3CDTF">2026-09-13T04:45:09Z</dcterms:created>
  <dcterms:modified xsi:type="dcterms:W3CDTF">2026-09-13T07:55:02Z</dcterms:modified>
</cp:coreProperties>
</file>