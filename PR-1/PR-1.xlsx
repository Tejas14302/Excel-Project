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00b7d7742791b0/Documents/"/>
    </mc:Choice>
  </mc:AlternateContent>
  <xr:revisionPtr revIDLastSave="41" documentId="8_{01A72AD9-ECC4-4EBF-A576-9BD0A53202C7}" xr6:coauthVersionLast="47" xr6:coauthVersionMax="47" xr10:uidLastSave="{68BB4E0E-9FCD-4FB6-AE55-7076F0EDA0CB}"/>
  <bookViews>
    <workbookView xWindow="-110" yWindow="-110" windowWidth="19420" windowHeight="10420" activeTab="3" xr2:uid="{9C9836B0-5EED-4CCF-9444-09EC25C914A1}"/>
  </bookViews>
  <sheets>
    <sheet name="Students grade" sheetId="1" r:id="rId1"/>
    <sheet name="Sales Data" sheetId="2" r:id="rId2"/>
    <sheet name="Employee Data" sheetId="3" r:id="rId3"/>
    <sheet name="Dashboard" sheetId="4" r:id="rId4"/>
  </sheet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9" i="4" l="1"/>
  <c r="E16" i="4" a="1"/>
  <c r="E16" i="4" s="1"/>
  <c r="E12" i="4"/>
  <c r="I2" i="3"/>
  <c r="I3" i="3"/>
  <c r="I4" i="3"/>
  <c r="I5" i="3"/>
  <c r="I6" i="3"/>
  <c r="I7" i="3"/>
  <c r="I8" i="3"/>
  <c r="I9" i="3"/>
  <c r="I10" i="3"/>
  <c r="I11" i="3"/>
  <c r="L2" i="1"/>
  <c r="L3" i="1"/>
  <c r="L4" i="1"/>
  <c r="L5" i="1"/>
  <c r="L6" i="1"/>
  <c r="L7" i="1"/>
  <c r="L8" i="1"/>
  <c r="L9" i="1"/>
  <c r="L10" i="1"/>
  <c r="L11" i="1"/>
  <c r="L12" i="1"/>
  <c r="L13" i="1"/>
  <c r="E2" i="4"/>
  <c r="H5" i="4"/>
  <c r="E9" i="4"/>
  <c r="E6" i="4"/>
  <c r="E5" i="4"/>
  <c r="A6" i="4" a="1"/>
  <c r="A6" i="4" s="1"/>
  <c r="B1" i="4"/>
  <c r="H11" i="3"/>
  <c r="G11" i="3"/>
  <c r="F11" i="3"/>
  <c r="H10" i="3"/>
  <c r="G10" i="3"/>
  <c r="F10" i="3"/>
  <c r="H9" i="3"/>
  <c r="G9" i="3"/>
  <c r="F9" i="3"/>
  <c r="H8" i="3"/>
  <c r="G8" i="3"/>
  <c r="F8" i="3"/>
  <c r="H7" i="3"/>
  <c r="G7" i="3"/>
  <c r="F7" i="3"/>
  <c r="H6" i="3"/>
  <c r="G6" i="3"/>
  <c r="F6" i="3"/>
  <c r="H5" i="3"/>
  <c r="G5" i="3"/>
  <c r="F5" i="3"/>
  <c r="H4" i="3"/>
  <c r="G4" i="3"/>
  <c r="F4" i="3"/>
  <c r="H3" i="3"/>
  <c r="G3" i="3"/>
  <c r="F3" i="3"/>
  <c r="H2" i="3"/>
  <c r="G2" i="3"/>
  <c r="F2" i="3"/>
  <c r="L13" i="2"/>
  <c r="K13" i="2"/>
  <c r="I13" i="2"/>
  <c r="L12" i="2"/>
  <c r="K12" i="2"/>
  <c r="I12" i="2"/>
  <c r="L11" i="2"/>
  <c r="K11" i="2"/>
  <c r="I11" i="2"/>
  <c r="L10" i="2"/>
  <c r="K10" i="2"/>
  <c r="I10" i="2"/>
  <c r="L9" i="2"/>
  <c r="K9" i="2"/>
  <c r="I9" i="2"/>
  <c r="L8" i="2"/>
  <c r="K8" i="2"/>
  <c r="I8" i="2"/>
  <c r="L7" i="2"/>
  <c r="K7" i="2"/>
  <c r="I7" i="2"/>
  <c r="L6" i="2"/>
  <c r="K6" i="2"/>
  <c r="I6" i="2"/>
  <c r="L5" i="2"/>
  <c r="K5" i="2"/>
  <c r="I5" i="2"/>
  <c r="L4" i="2"/>
  <c r="K4" i="2"/>
  <c r="I4" i="2"/>
  <c r="L3" i="2"/>
  <c r="K3" i="2"/>
  <c r="I3" i="2"/>
  <c r="B3" i="4" s="1"/>
  <c r="L2" i="2"/>
  <c r="K2" i="2"/>
  <c r="I2" i="2"/>
  <c r="I13" i="1"/>
  <c r="K13" i="1" s="1"/>
  <c r="H13" i="1"/>
  <c r="G13" i="1"/>
  <c r="F13" i="1"/>
  <c r="I12" i="1"/>
  <c r="K12" i="1" s="1"/>
  <c r="H12" i="1"/>
  <c r="G12" i="1"/>
  <c r="F12" i="1"/>
  <c r="I11" i="1"/>
  <c r="J11" i="1" s="1"/>
  <c r="H11" i="1"/>
  <c r="G11" i="1"/>
  <c r="F11" i="1"/>
  <c r="I10" i="1"/>
  <c r="J10" i="1" s="1"/>
  <c r="H10" i="1"/>
  <c r="G10" i="1"/>
  <c r="F10" i="1"/>
  <c r="I9" i="1"/>
  <c r="J9" i="1" s="1"/>
  <c r="H9" i="1"/>
  <c r="G9" i="1"/>
  <c r="F9" i="1"/>
  <c r="I8" i="1"/>
  <c r="J8" i="1" s="1"/>
  <c r="H8" i="1"/>
  <c r="G8" i="1"/>
  <c r="F8" i="1"/>
  <c r="I7" i="1"/>
  <c r="J7" i="1" s="1"/>
  <c r="H7" i="1"/>
  <c r="G7" i="1"/>
  <c r="F7" i="1"/>
  <c r="I6" i="1"/>
  <c r="J6" i="1" s="1"/>
  <c r="H6" i="1"/>
  <c r="G6" i="1"/>
  <c r="F6" i="1"/>
  <c r="I5" i="1"/>
  <c r="J5" i="1" s="1"/>
  <c r="H5" i="1"/>
  <c r="G5" i="1"/>
  <c r="F5" i="1"/>
  <c r="I4" i="1"/>
  <c r="J4" i="1" s="1"/>
  <c r="H4" i="1"/>
  <c r="G4" i="1"/>
  <c r="F4" i="1"/>
  <c r="I3" i="1"/>
  <c r="J3" i="1" s="1"/>
  <c r="H3" i="1"/>
  <c r="G3" i="1"/>
  <c r="F3" i="1"/>
  <c r="I2" i="1"/>
  <c r="J2" i="1" s="1"/>
  <c r="H2" i="1"/>
  <c r="G2" i="1"/>
  <c r="F2" i="1"/>
  <c r="B2" i="4" s="1"/>
  <c r="H2" i="4"/>
  <c r="K8" i="1" l="1"/>
  <c r="K6" i="1"/>
  <c r="K2" i="1"/>
  <c r="K10" i="1"/>
  <c r="K4" i="1"/>
  <c r="K3" i="1"/>
  <c r="K5" i="1"/>
  <c r="K7" i="1"/>
  <c r="K9" i="1"/>
  <c r="K11" i="1"/>
  <c r="J12" i="1"/>
  <c r="J1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<sst xmlns="http://schemas.openxmlformats.org/spreadsheetml/2006/main" count="140" uniqueCount="102">
  <si>
    <t>Student ID</t>
  </si>
  <si>
    <t>Full Name</t>
  </si>
  <si>
    <t>DOB</t>
  </si>
  <si>
    <t>Math</t>
  </si>
  <si>
    <t>Science</t>
  </si>
  <si>
    <t>Average</t>
  </si>
  <si>
    <t>Grade</t>
  </si>
  <si>
    <t>Above 80 in Both</t>
  </si>
  <si>
    <t>First Name</t>
  </si>
  <si>
    <t>Name (Upper)</t>
  </si>
  <si>
    <t>Name (Lower)</t>
  </si>
  <si>
    <t>Ishita Rathod</t>
  </si>
  <si>
    <t>Ishaan Solanki</t>
  </si>
  <si>
    <t>Meera Kapoor</t>
  </si>
  <si>
    <t>Ritika Bhatt</t>
  </si>
  <si>
    <t>Kavya Chauhan</t>
  </si>
  <si>
    <t>Siddharth Trivedi</t>
  </si>
  <si>
    <t>Tanvi Nair</t>
  </si>
  <si>
    <t>Neel Shah</t>
  </si>
  <si>
    <t>Riya Bansal</t>
  </si>
  <si>
    <t>Sneha Deshmukh</t>
  </si>
  <si>
    <t>Rohan Malhotra</t>
  </si>
  <si>
    <t>Ananya Iyer</t>
  </si>
  <si>
    <t>Sales ID</t>
  </si>
  <si>
    <t>Region</t>
  </si>
  <si>
    <t>Product</t>
  </si>
  <si>
    <t>Product Code</t>
  </si>
  <si>
    <t>Sales Person</t>
  </si>
  <si>
    <t>Month</t>
  </si>
  <si>
    <t>Price</t>
  </si>
  <si>
    <t>Quantity</t>
  </si>
  <si>
    <t>Sales Amount</t>
  </si>
  <si>
    <t>Date</t>
  </si>
  <si>
    <t>Discount %</t>
  </si>
  <si>
    <t>Discount Eligible</t>
  </si>
  <si>
    <t>West</t>
  </si>
  <si>
    <t>Keyboard</t>
  </si>
  <si>
    <t>Sonal Kapoor</t>
  </si>
  <si>
    <t>Jan</t>
  </si>
  <si>
    <t>North</t>
  </si>
  <si>
    <t>Laptop</t>
  </si>
  <si>
    <t>Neha Kulkarni</t>
  </si>
  <si>
    <t>Feb</t>
  </si>
  <si>
    <t>Mouse</t>
  </si>
  <si>
    <t>Mar</t>
  </si>
  <si>
    <t>Aman Bose</t>
  </si>
  <si>
    <t>Apr</t>
  </si>
  <si>
    <t>East</t>
  </si>
  <si>
    <t>Rahul Desai</t>
  </si>
  <si>
    <t>May</t>
  </si>
  <si>
    <t>South</t>
  </si>
  <si>
    <t>Printer</t>
  </si>
  <si>
    <t>Jun</t>
  </si>
  <si>
    <t>Monitor</t>
  </si>
  <si>
    <t>Employee ID</t>
  </si>
  <si>
    <t>Name</t>
  </si>
  <si>
    <t>Department</t>
  </si>
  <si>
    <t>Salary</t>
  </si>
  <si>
    <t>Joining Date</t>
  </si>
  <si>
    <t>Salary (Round)</t>
  </si>
  <si>
    <t>Salary (Ceiling)</t>
  </si>
  <si>
    <t>Salary (Floor)</t>
  </si>
  <si>
    <t>Nikhil Bhatt</t>
  </si>
  <si>
    <t>Sales</t>
  </si>
  <si>
    <t>Pooja Menon</t>
  </si>
  <si>
    <t>Marketing</t>
  </si>
  <si>
    <t>Sameer Khan</t>
  </si>
  <si>
    <t>Finance</t>
  </si>
  <si>
    <t>Ritu Chawla</t>
  </si>
  <si>
    <t>HR</t>
  </si>
  <si>
    <t>Devansh Rao</t>
  </si>
  <si>
    <t>IT</t>
  </si>
  <si>
    <t>Kavya Pillai</t>
  </si>
  <si>
    <t>Yash Trivedi</t>
  </si>
  <si>
    <t>Alisha Dutta</t>
  </si>
  <si>
    <t>Tirth Donga</t>
  </si>
  <si>
    <t>Virat Patel</t>
  </si>
  <si>
    <t>Count Math &gt; 50:</t>
  </si>
  <si>
    <t>Avg Score for &gt; 60:</t>
  </si>
  <si>
    <t>Sum Sales (North Laptop):</t>
  </si>
  <si>
    <t>Top Students (FILTER):</t>
  </si>
  <si>
    <t>Student ID Lookup:</t>
  </si>
  <si>
    <t>VLOOKUP Name:</t>
  </si>
  <si>
    <t>Employee ID Lookup:</t>
  </si>
  <si>
    <t>INDEX/MATCH Dept:</t>
  </si>
  <si>
    <t>XLOOKUP Salary:</t>
  </si>
  <si>
    <t>Product Search:</t>
  </si>
  <si>
    <t>XMATCH Position:</t>
  </si>
  <si>
    <t>Range Reference:</t>
  </si>
  <si>
    <t>'Sales Data'!I2:I13</t>
  </si>
  <si>
    <t>INDIRECT Sum:</t>
  </si>
  <si>
    <t>Last N Sales:</t>
  </si>
  <si>
    <t>OFFSET Trend:</t>
  </si>
  <si>
    <t>age</t>
  </si>
  <si>
    <t>Days Since Joining</t>
  </si>
  <si>
    <t>Product Code:</t>
  </si>
  <si>
    <t>Price (VLOOKUP):</t>
  </si>
  <si>
    <t>Salesperson:</t>
  </si>
  <si>
    <t>Month:</t>
  </si>
  <si>
    <t>Sales Amount:</t>
  </si>
  <si>
    <t>Salesperson (XLOOKUP):</t>
  </si>
  <si>
    <t>Performance Found: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</si>
</sst>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0.0"/>
    <numFmt numFmtId="173" formatCode="&quot;₹&quot;\ #,##0.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0"/>
      <color theme="1"/>
      <name val="Arial Unicode MS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3" xfId="0" applyFont="1" applyBorder="1"/>
    <xf numFmtId="0" fontId="0" fillId="0" borderId="13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173" fontId="0" fillId="0" borderId="13" xfId="0" applyNumberFormat="1" applyBorder="1" applyAlignment="1">
      <alignment horizontal="center"/>
    </xf>
    <xf numFmtId="173" fontId="3" fillId="0" borderId="4" xfId="0" applyNumberFormat="1" applyFont="1" applyBorder="1" applyAlignment="1">
      <alignment horizontal="center"/>
    </xf>
    <xf numFmtId="173" fontId="2" fillId="2" borderId="2" xfId="0" applyNumberFormat="1" applyFont="1" applyFill="1" applyBorder="1" applyAlignment="1">
      <alignment horizontal="center" vertical="center" wrapText="1"/>
    </xf>
    <xf numFmtId="173" fontId="3" fillId="0" borderId="6" xfId="0" applyNumberFormat="1" applyFont="1" applyBorder="1" applyAlignment="1">
      <alignment horizontal="center"/>
    </xf>
    <xf numFmtId="173" fontId="0" fillId="0" borderId="0" xfId="0" applyNumberFormat="1"/>
    <xf numFmtId="173" fontId="3" fillId="0" borderId="4" xfId="0" applyNumberFormat="1" applyFont="1" applyBorder="1" applyAlignment="1">
      <alignment horizontal="center" vertical="center"/>
    </xf>
    <xf numFmtId="173" fontId="3" fillId="0" borderId="6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173" fontId="4" fillId="0" borderId="13" xfId="0" applyNumberFormat="1" applyFont="1" applyBorder="1" applyAlignment="1">
      <alignment horizontal="center"/>
    </xf>
    <xf numFmtId="173" fontId="0" fillId="0" borderId="13" xfId="0" applyNumberFormat="1" applyBorder="1" applyAlignment="1">
      <alignment horizontal="center" vertical="center"/>
    </xf>
  </cellXfs>
  <cellStyles count="1">
    <cellStyle name="Normal" xfId="0" builtinId="0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73" formatCode="&quot;₹&quot;\ #,##0.00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73" formatCode="&quot;₹&quot;\ #,##0.00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73" formatCode="&quot;₹&quot;\ #,##0.00"/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73" formatCode="&quot;₹&quot;\ #,##0.00"/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73" formatCode="&quot;₹&quot;\ #,##0.00"/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73" formatCode="&quot;₹&quot;\ #,##0.00"/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dd\-mm\-yyyy"/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dd\-mm\-yyyy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BFBFBF"/>
        </top>
        <bottom style="thin">
          <color rgb="FFBFBFBF"/>
        </bottom>
        <vertical/>
        <horizontal/>
      </border>
    </dxf>
    <dxf>
      <border outline="0">
        <right style="thin">
          <color rgb="FFBFBFBF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CD8E22-D906-407B-BC93-0BB663D32CEE}" name="Table1" displayName="Table1" ref="A1:L13" totalsRowShown="0" headerRowDxfId="45" dataDxfId="43" headerRowBorderDxfId="44" tableBorderDxfId="42">
  <autoFilter ref="A1:L13" xr:uid="{82CD8E22-D906-407B-BC93-0BB663D32CEE}"/>
  <tableColumns count="12">
    <tableColumn id="1" xr3:uid="{567AACCD-28AF-4503-9CE0-C4D111F4D930}" name="Student ID" dataDxfId="41"/>
    <tableColumn id="2" xr3:uid="{DCCC99AB-109F-4847-B0B7-5A0E9F20AFA9}" name="Full Name" dataDxfId="40"/>
    <tableColumn id="3" xr3:uid="{63EB1F5E-1262-4FC1-9CB6-5A72F794AA17}" name="DOB" dataDxfId="39"/>
    <tableColumn id="4" xr3:uid="{6FAB68B5-292C-4D9A-8DA9-B227A8E4A44C}" name="Math" dataDxfId="38"/>
    <tableColumn id="5" xr3:uid="{CB238D71-97AF-4FFD-B608-9499F3A83307}" name="Science" dataDxfId="37"/>
    <tableColumn id="6" xr3:uid="{4D0F027D-1C34-4034-88AD-ADBF2CE9C0F8}" name="Average" dataDxfId="36">
      <calculatedColumnFormula>AVERAGE(D2:E2)</calculatedColumnFormula>
    </tableColumn>
    <tableColumn id="7" xr3:uid="{2B29402B-BA90-4086-967E-6C1D4260305C}" name="Grade" dataDxfId="35">
      <calculatedColumnFormula>IF(OR(D2&lt;35,E2&lt;35),"F",IF(AVERAGE(D2:E2)&gt;=90,"A",IF(AVERAGE(D2:E2)&gt;=75,"B",IF(AVERAGE(D2:E2)&gt;=60,"C",IF(AVERAGE(D2:E2)&gt;=50,"D","F")))))</calculatedColumnFormula>
    </tableColumn>
    <tableColumn id="8" xr3:uid="{78CBEE8C-2F75-4818-A74C-2C05422870B6}" name="Above 80 in Both" dataDxfId="34">
      <calculatedColumnFormula>IF(AND(D2&gt;80,E2&gt;80),"YES","NO")</calculatedColumnFormula>
    </tableColumn>
    <tableColumn id="9" xr3:uid="{4E754697-0F64-4989-B24A-59A46FC5F030}" name="First Name" dataDxfId="33">
      <calculatedColumnFormula>LEFT(B2,FIND(" ",B2)-1)</calculatedColumnFormula>
    </tableColumn>
    <tableColumn id="10" xr3:uid="{3BFC4086-60E3-4362-83D6-8D022A91AD40}" name="Name (Upper)" dataDxfId="32">
      <calculatedColumnFormula>UPPER(I2)</calculatedColumnFormula>
    </tableColumn>
    <tableColumn id="11" xr3:uid="{4BF79840-499C-4CD9-9A01-0F53DEFC89EB}" name="Name (Lower)" dataDxfId="2">
      <calculatedColumnFormula>LOWER(I2)</calculatedColumnFormula>
    </tableColumn>
    <tableColumn id="12" xr3:uid="{0627FAE9-4429-4FD5-8BF1-277385E7EFDF}" name="age" dataDxfId="1">
      <calculatedColumnFormula>DATEDIF(C2, TODAY(), "y")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A45EB4-E5FF-423C-B974-9AC771C83932}" name="Table2" displayName="Table2" ref="A1:L13" totalsRowShown="0" headerRowDxfId="31" headerRowBorderDxfId="30" tableBorderDxfId="29" totalsRowBorderDxfId="28">
  <autoFilter ref="A1:L13" xr:uid="{C9A45EB4-E5FF-423C-B974-9AC771C83932}"/>
  <tableColumns count="12">
    <tableColumn id="1" xr3:uid="{089DFDAE-BFFB-42B6-AD5A-A4BE6C47295E}" name="Sales ID" dataDxfId="27"/>
    <tableColumn id="2" xr3:uid="{5C896642-84DE-4045-ABC3-034823EE9D39}" name="Region" dataDxfId="26"/>
    <tableColumn id="3" xr3:uid="{9D0F4FA2-72D2-498A-9532-DB0536975055}" name="Product" dataDxfId="25"/>
    <tableColumn id="4" xr3:uid="{8667F881-FD07-4F18-9763-505823E60975}" name="Product Code" dataDxfId="24"/>
    <tableColumn id="5" xr3:uid="{9CC9FF1F-FCA9-4824-8AA2-2FA7DF4BBCA4}" name="Sales Person" dataDxfId="23"/>
    <tableColumn id="6" xr3:uid="{748D82B5-3E9D-44CC-BAD0-17FA1FDCFD50}" name="Month" dataDxfId="22"/>
    <tableColumn id="7" xr3:uid="{9690D561-6FEA-4B5C-BE77-0C0AE29E8A61}" name="Price" dataDxfId="3"/>
    <tableColumn id="8" xr3:uid="{614C198B-AB0A-48B7-9AE0-5942D812381C}" name="Quantity" dataDxfId="21"/>
    <tableColumn id="9" xr3:uid="{030F6332-1936-4AAA-9148-BD4CA7815B4D}" name="Sales Amount" dataDxfId="4">
      <calculatedColumnFormula>G2*H2</calculatedColumnFormula>
    </tableColumn>
    <tableColumn id="10" xr3:uid="{2F140FCB-EE98-47F7-9702-4FA82AD94E54}" name="Date" dataDxfId="20"/>
    <tableColumn id="11" xr3:uid="{AC35E272-FDEE-447A-9195-37DB7491982D}" name="Discount %" dataDxfId="19">
      <calculatedColumnFormula>IF(G2&gt;=50000,"15%",IF(G2&gt;=25000,"10%",IF(G2&gt;=10000,"5%",IF(G2&gt;=5000,"2%","0%"))))</calculatedColumnFormula>
    </tableColumn>
    <tableColumn id="12" xr3:uid="{B41FEFAA-9175-49E4-A4BB-F778DCB52756}" name="Discount Eligible" dataDxfId="18">
      <calculatedColumnFormula>IF(OR(G2&gt;=5000,H2&gt;=50),"YES","NO")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6E0AB4-445A-4497-881B-17CE76642D5D}" name="Table3" displayName="Table3" ref="A1:I11" totalsRowShown="0" headerRowDxfId="17" dataDxfId="15" headerRowBorderDxfId="16" tableBorderDxfId="14" totalsRowBorderDxfId="13">
  <autoFilter ref="A1:I11" xr:uid="{7C6E0AB4-445A-4497-881B-17CE76642D5D}"/>
  <tableColumns count="9">
    <tableColumn id="1" xr3:uid="{627BAB2C-EC3E-4DFD-99C5-1A103E30A630}" name="Employee ID" dataDxfId="12"/>
    <tableColumn id="2" xr3:uid="{6E9C9491-4901-41B3-92A4-6680F4824FC7}" name="Name" dataDxfId="11"/>
    <tableColumn id="3" xr3:uid="{4A4ADD88-BA01-4531-BA91-8E61D7B2A8EF}" name="Department" dataDxfId="10"/>
    <tableColumn id="4" xr3:uid="{4C5E2A6B-BFE5-45F5-AACC-656D68118DDF}" name="Salary" dataDxfId="5"/>
    <tableColumn id="5" xr3:uid="{F97C05AD-9E57-45AE-BF18-95430F64F4E6}" name="Joining Date" dataDxfId="9"/>
    <tableColumn id="6" xr3:uid="{7C39D5B1-50FC-4FC9-A1EB-0AD3E6F4E352}" name="Salary (Round)" dataDxfId="8">
      <calculatedColumnFormula>ROUND(D2,0)</calculatedColumnFormula>
    </tableColumn>
    <tableColumn id="7" xr3:uid="{C07A3F78-5C79-4CAA-A982-2DF7C4B236BB}" name="Salary (Ceiling)" dataDxfId="6">
      <calculatedColumnFormula>CEILING(D2,100)</calculatedColumnFormula>
    </tableColumn>
    <tableColumn id="8" xr3:uid="{5BF744B2-BB89-4A44-ACF2-FFBF408574CB}" name="Salary (Floor)" dataDxfId="7">
      <calculatedColumnFormula>FLOOR(D2,100)</calculatedColumnFormula>
    </tableColumn>
    <tableColumn id="9" xr3:uid="{1351FDE7-915A-465D-B7CD-8AE56F3BDC84}" name="Days Since Joining" dataDxfId="0">
      <calculatedColumnFormula>_xlfn.DAYS(TODAY(), E2)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C0D4-5A2D-448F-8ED7-DC4D8C9977F5}">
  <dimension ref="A1:L13"/>
  <sheetViews>
    <sheetView workbookViewId="0">
      <selection activeCell="M7" sqref="M7"/>
    </sheetView>
  </sheetViews>
  <sheetFormatPr defaultRowHeight="14.5"/>
  <cols>
    <col min="1" max="1" width="23.453125" bestFit="1" customWidth="1"/>
    <col min="2" max="2" width="16.08984375" bestFit="1" customWidth="1"/>
    <col min="3" max="3" width="10.81640625" bestFit="1" customWidth="1"/>
    <col min="4" max="4" width="9.81640625" bestFit="1" customWidth="1"/>
    <col min="5" max="5" width="12.7265625" bestFit="1" customWidth="1"/>
    <col min="6" max="6" width="13.08984375" bestFit="1" customWidth="1"/>
    <col min="7" max="7" width="11" bestFit="1" customWidth="1"/>
    <col min="8" max="8" width="11.36328125" bestFit="1" customWidth="1"/>
    <col min="9" max="9" width="10.7265625" bestFit="1" customWidth="1"/>
    <col min="10" max="10" width="12.6328125" bestFit="1" customWidth="1"/>
    <col min="11" max="11" width="12.54296875" bestFit="1" customWidth="1"/>
    <col min="12" max="12" width="8.7265625" style="34"/>
  </cols>
  <sheetData>
    <row r="1" spans="1:12" ht="28">
      <c r="A1" s="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20" t="s">
        <v>10</v>
      </c>
      <c r="L1" s="51" t="s">
        <v>93</v>
      </c>
    </row>
    <row r="2" spans="1:12">
      <c r="A2" s="10">
        <v>1</v>
      </c>
      <c r="B2" s="14" t="s">
        <v>11</v>
      </c>
      <c r="C2" s="15">
        <v>38902</v>
      </c>
      <c r="D2" s="14">
        <v>87</v>
      </c>
      <c r="E2" s="14">
        <v>90</v>
      </c>
      <c r="F2" s="16">
        <f t="shared" ref="F2:F13" si="0">AVERAGE(D2:E2)</f>
        <v>88.5</v>
      </c>
      <c r="G2" s="14" t="str">
        <f t="shared" ref="G2:G13" si="1">IF(OR(D2&lt;35,E2&lt;35),"F",IF(AVERAGE(D2:E2)&gt;=90,"A",IF(AVERAGE(D2:E2)&gt;=75,"B",IF(AVERAGE(D2:E2)&gt;=60,"C",IF(AVERAGE(D2:E2)&gt;=50,"D","F")))))</f>
        <v>B</v>
      </c>
      <c r="H2" s="14" t="str">
        <f t="shared" ref="H2:H13" si="2">IF(AND(D2&gt;80,E2&gt;80),"YES","NO")</f>
        <v>YES</v>
      </c>
      <c r="I2" s="14" t="str">
        <f t="shared" ref="I2:I13" si="3">LEFT(B2,FIND(" ",B2)-1)</f>
        <v>Ishita</v>
      </c>
      <c r="J2" s="14" t="str">
        <f t="shared" ref="J2:J13" si="4">UPPER(I2)</f>
        <v>ISHITA</v>
      </c>
      <c r="K2" s="14" t="str">
        <f t="shared" ref="K2:K13" si="5">LOWER(I2)</f>
        <v>ishita</v>
      </c>
      <c r="L2" s="34">
        <f t="shared" ref="L2:L13" ca="1" si="6">DATEDIF(C2, TODAY(), "y")</f>
        <v>20</v>
      </c>
    </row>
    <row r="3" spans="1:12">
      <c r="A3" s="10">
        <v>2</v>
      </c>
      <c r="B3" s="10" t="s">
        <v>12</v>
      </c>
      <c r="C3" s="12">
        <v>39471</v>
      </c>
      <c r="D3" s="10">
        <v>86</v>
      </c>
      <c r="E3" s="10">
        <v>96</v>
      </c>
      <c r="F3" s="13">
        <f t="shared" si="0"/>
        <v>91</v>
      </c>
      <c r="G3" s="10" t="str">
        <f t="shared" si="1"/>
        <v>A</v>
      </c>
      <c r="H3" s="10" t="str">
        <f t="shared" si="2"/>
        <v>YES</v>
      </c>
      <c r="I3" s="10" t="str">
        <f t="shared" si="3"/>
        <v>Ishaan</v>
      </c>
      <c r="J3" s="10" t="str">
        <f t="shared" si="4"/>
        <v>ISHAAN</v>
      </c>
      <c r="K3" s="10" t="str">
        <f t="shared" si="5"/>
        <v>ishaan</v>
      </c>
      <c r="L3" s="49">
        <f t="shared" ca="1" si="6"/>
        <v>18</v>
      </c>
    </row>
    <row r="4" spans="1:12">
      <c r="A4" s="10">
        <v>3</v>
      </c>
      <c r="B4" s="10" t="s">
        <v>13</v>
      </c>
      <c r="C4" s="12">
        <v>38901</v>
      </c>
      <c r="D4" s="10">
        <v>98</v>
      </c>
      <c r="E4" s="10">
        <v>65</v>
      </c>
      <c r="F4" s="13">
        <f t="shared" si="0"/>
        <v>81.5</v>
      </c>
      <c r="G4" s="10" t="str">
        <f t="shared" si="1"/>
        <v>B</v>
      </c>
      <c r="H4" s="10" t="str">
        <f t="shared" si="2"/>
        <v>NO</v>
      </c>
      <c r="I4" s="10" t="str">
        <f t="shared" si="3"/>
        <v>Meera</v>
      </c>
      <c r="J4" s="10" t="str">
        <f t="shared" si="4"/>
        <v>MEERA</v>
      </c>
      <c r="K4" s="10" t="str">
        <f t="shared" si="5"/>
        <v>meera</v>
      </c>
      <c r="L4" s="49">
        <f t="shared" ca="1" si="6"/>
        <v>20</v>
      </c>
    </row>
    <row r="5" spans="1:12">
      <c r="A5" s="10">
        <v>4</v>
      </c>
      <c r="B5" s="10" t="s">
        <v>14</v>
      </c>
      <c r="C5" s="12">
        <v>39728</v>
      </c>
      <c r="D5" s="10">
        <v>87</v>
      </c>
      <c r="E5" s="10">
        <v>89</v>
      </c>
      <c r="F5" s="13">
        <f t="shared" si="0"/>
        <v>88</v>
      </c>
      <c r="G5" s="10" t="str">
        <f t="shared" si="1"/>
        <v>B</v>
      </c>
      <c r="H5" s="10" t="str">
        <f t="shared" si="2"/>
        <v>YES</v>
      </c>
      <c r="I5" s="10" t="str">
        <f t="shared" si="3"/>
        <v>Ritika</v>
      </c>
      <c r="J5" s="10" t="str">
        <f t="shared" si="4"/>
        <v>RITIKA</v>
      </c>
      <c r="K5" s="10" t="str">
        <f t="shared" si="5"/>
        <v>ritika</v>
      </c>
      <c r="L5" s="49">
        <f t="shared" ca="1" si="6"/>
        <v>17</v>
      </c>
    </row>
    <row r="6" spans="1:12">
      <c r="A6" s="10">
        <v>5</v>
      </c>
      <c r="B6" s="10" t="s">
        <v>15</v>
      </c>
      <c r="C6" s="12">
        <v>39205</v>
      </c>
      <c r="D6" s="10">
        <v>57</v>
      </c>
      <c r="E6" s="10">
        <v>40</v>
      </c>
      <c r="F6" s="13">
        <f t="shared" si="0"/>
        <v>48.5</v>
      </c>
      <c r="G6" s="10" t="str">
        <f t="shared" si="1"/>
        <v>F</v>
      </c>
      <c r="H6" s="10" t="str">
        <f t="shared" si="2"/>
        <v>NO</v>
      </c>
      <c r="I6" s="10" t="str">
        <f t="shared" si="3"/>
        <v>Kavya</v>
      </c>
      <c r="J6" s="10" t="str">
        <f t="shared" si="4"/>
        <v>KAVYA</v>
      </c>
      <c r="K6" s="10" t="str">
        <f t="shared" si="5"/>
        <v>kavya</v>
      </c>
      <c r="L6" s="49">
        <f t="shared" ca="1" si="6"/>
        <v>19</v>
      </c>
    </row>
    <row r="7" spans="1:12">
      <c r="A7" s="10">
        <v>6</v>
      </c>
      <c r="B7" s="10" t="s">
        <v>16</v>
      </c>
      <c r="C7" s="12">
        <v>39948</v>
      </c>
      <c r="D7" s="10">
        <v>74</v>
      </c>
      <c r="E7" s="10">
        <v>48</v>
      </c>
      <c r="F7" s="13">
        <f t="shared" si="0"/>
        <v>61</v>
      </c>
      <c r="G7" s="10" t="str">
        <f t="shared" si="1"/>
        <v>C</v>
      </c>
      <c r="H7" s="10" t="str">
        <f t="shared" si="2"/>
        <v>NO</v>
      </c>
      <c r="I7" s="10" t="str">
        <f t="shared" si="3"/>
        <v>Siddharth</v>
      </c>
      <c r="J7" s="10" t="str">
        <f t="shared" si="4"/>
        <v>SIDDHARTH</v>
      </c>
      <c r="K7" s="10" t="str">
        <f t="shared" si="5"/>
        <v>siddharth</v>
      </c>
      <c r="L7" s="49">
        <f t="shared" ca="1" si="6"/>
        <v>17</v>
      </c>
    </row>
    <row r="8" spans="1:12">
      <c r="A8" s="10">
        <v>7</v>
      </c>
      <c r="B8" s="10" t="s">
        <v>17</v>
      </c>
      <c r="C8" s="12">
        <v>39606</v>
      </c>
      <c r="D8" s="10">
        <v>96</v>
      </c>
      <c r="E8" s="10">
        <v>90</v>
      </c>
      <c r="F8" s="13">
        <f t="shared" si="0"/>
        <v>93</v>
      </c>
      <c r="G8" s="10" t="str">
        <f t="shared" si="1"/>
        <v>A</v>
      </c>
      <c r="H8" s="10" t="str">
        <f t="shared" si="2"/>
        <v>YES</v>
      </c>
      <c r="I8" s="10" t="str">
        <f t="shared" si="3"/>
        <v>Tanvi</v>
      </c>
      <c r="J8" s="10" t="str">
        <f t="shared" si="4"/>
        <v>TANVI</v>
      </c>
      <c r="K8" s="10" t="str">
        <f t="shared" si="5"/>
        <v>tanvi</v>
      </c>
      <c r="L8" s="49">
        <f t="shared" ca="1" si="6"/>
        <v>18</v>
      </c>
    </row>
    <row r="9" spans="1:12">
      <c r="A9" s="10">
        <v>8</v>
      </c>
      <c r="B9" s="10" t="s">
        <v>18</v>
      </c>
      <c r="C9" s="12">
        <v>39349</v>
      </c>
      <c r="D9" s="10">
        <v>59</v>
      </c>
      <c r="E9" s="10">
        <v>48</v>
      </c>
      <c r="F9" s="13">
        <f t="shared" si="0"/>
        <v>53.5</v>
      </c>
      <c r="G9" s="10" t="str">
        <f t="shared" si="1"/>
        <v>D</v>
      </c>
      <c r="H9" s="10" t="str">
        <f t="shared" si="2"/>
        <v>NO</v>
      </c>
      <c r="I9" s="10" t="str">
        <f t="shared" si="3"/>
        <v>Neel</v>
      </c>
      <c r="J9" s="10" t="str">
        <f t="shared" si="4"/>
        <v>NEEL</v>
      </c>
      <c r="K9" s="10" t="str">
        <f t="shared" si="5"/>
        <v>neel</v>
      </c>
      <c r="L9" s="49">
        <f t="shared" ca="1" si="6"/>
        <v>18</v>
      </c>
    </row>
    <row r="10" spans="1:12">
      <c r="A10" s="10">
        <v>9</v>
      </c>
      <c r="B10" s="10" t="s">
        <v>19</v>
      </c>
      <c r="C10" s="12">
        <v>40003</v>
      </c>
      <c r="D10" s="10">
        <v>56</v>
      </c>
      <c r="E10" s="10">
        <v>69</v>
      </c>
      <c r="F10" s="13">
        <f t="shared" si="0"/>
        <v>62.5</v>
      </c>
      <c r="G10" s="10" t="str">
        <f t="shared" si="1"/>
        <v>C</v>
      </c>
      <c r="H10" s="10" t="str">
        <f t="shared" si="2"/>
        <v>NO</v>
      </c>
      <c r="I10" s="10" t="str">
        <f t="shared" si="3"/>
        <v>Riya</v>
      </c>
      <c r="J10" s="10" t="str">
        <f t="shared" si="4"/>
        <v>RIYA</v>
      </c>
      <c r="K10" s="10" t="str">
        <f t="shared" si="5"/>
        <v>riya</v>
      </c>
      <c r="L10" s="49">
        <f t="shared" ca="1" si="6"/>
        <v>17</v>
      </c>
    </row>
    <row r="11" spans="1:12">
      <c r="A11" s="10">
        <v>10</v>
      </c>
      <c r="B11" s="10" t="s">
        <v>20</v>
      </c>
      <c r="C11" s="12">
        <v>38834</v>
      </c>
      <c r="D11" s="10">
        <v>96</v>
      </c>
      <c r="E11" s="10">
        <v>95</v>
      </c>
      <c r="F11" s="13">
        <f t="shared" si="0"/>
        <v>95.5</v>
      </c>
      <c r="G11" s="10" t="str">
        <f t="shared" si="1"/>
        <v>A</v>
      </c>
      <c r="H11" s="10" t="str">
        <f t="shared" si="2"/>
        <v>YES</v>
      </c>
      <c r="I11" s="10" t="str">
        <f t="shared" si="3"/>
        <v>Sneha</v>
      </c>
      <c r="J11" s="10" t="str">
        <f t="shared" si="4"/>
        <v>SNEHA</v>
      </c>
      <c r="K11" s="10" t="str">
        <f t="shared" si="5"/>
        <v>sneha</v>
      </c>
      <c r="L11" s="49">
        <f t="shared" ca="1" si="6"/>
        <v>20</v>
      </c>
    </row>
    <row r="12" spans="1:12">
      <c r="A12" s="10">
        <v>11</v>
      </c>
      <c r="B12" s="10" t="s">
        <v>21</v>
      </c>
      <c r="C12" s="12">
        <v>39936</v>
      </c>
      <c r="D12" s="10">
        <v>55</v>
      </c>
      <c r="E12" s="10">
        <v>68</v>
      </c>
      <c r="F12" s="13">
        <f t="shared" si="0"/>
        <v>61.5</v>
      </c>
      <c r="G12" s="10" t="str">
        <f t="shared" si="1"/>
        <v>C</v>
      </c>
      <c r="H12" s="10" t="str">
        <f t="shared" si="2"/>
        <v>NO</v>
      </c>
      <c r="I12" s="10" t="str">
        <f t="shared" si="3"/>
        <v>Rohan</v>
      </c>
      <c r="J12" s="10" t="str">
        <f t="shared" si="4"/>
        <v>ROHAN</v>
      </c>
      <c r="K12" s="10" t="str">
        <f t="shared" si="5"/>
        <v>rohan</v>
      </c>
      <c r="L12" s="49">
        <f t="shared" ca="1" si="6"/>
        <v>17</v>
      </c>
    </row>
    <row r="13" spans="1:12">
      <c r="A13" s="11">
        <v>12</v>
      </c>
      <c r="B13" s="11" t="s">
        <v>22</v>
      </c>
      <c r="C13" s="17">
        <v>39402</v>
      </c>
      <c r="D13" s="11">
        <v>78</v>
      </c>
      <c r="E13" s="11">
        <v>86</v>
      </c>
      <c r="F13" s="18">
        <f t="shared" si="0"/>
        <v>82</v>
      </c>
      <c r="G13" s="11" t="str">
        <f t="shared" si="1"/>
        <v>B</v>
      </c>
      <c r="H13" s="11" t="str">
        <f t="shared" si="2"/>
        <v>NO</v>
      </c>
      <c r="I13" s="11" t="str">
        <f t="shared" si="3"/>
        <v>Ananya</v>
      </c>
      <c r="J13" s="11" t="str">
        <f t="shared" si="4"/>
        <v>ANANYA</v>
      </c>
      <c r="K13" s="11" t="str">
        <f t="shared" si="5"/>
        <v>ananya</v>
      </c>
      <c r="L13" s="50">
        <f t="shared" ca="1" si="6"/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5C98-4CBC-400A-A20E-0B91A066CB2F}">
  <dimension ref="A1:L13"/>
  <sheetViews>
    <sheetView topLeftCell="E1" workbookViewId="0">
      <selection activeCell="E22" sqref="E22"/>
    </sheetView>
  </sheetViews>
  <sheetFormatPr defaultRowHeight="14.5"/>
  <cols>
    <col min="1" max="1" width="12.90625" bestFit="1" customWidth="1"/>
    <col min="2" max="2" width="11.90625" bestFit="1" customWidth="1"/>
    <col min="3" max="3" width="12.7265625" bestFit="1" customWidth="1"/>
    <col min="4" max="4" width="18.26953125" bestFit="1" customWidth="1"/>
    <col min="5" max="5" width="17.7265625" bestFit="1" customWidth="1"/>
    <col min="6" max="6" width="11.08984375" bestFit="1" customWidth="1"/>
    <col min="7" max="7" width="11.1796875" style="46" bestFit="1" customWidth="1"/>
    <col min="8" max="8" width="13.08984375" bestFit="1" customWidth="1"/>
    <col min="9" max="9" width="18.36328125" style="46" bestFit="1" customWidth="1"/>
    <col min="10" max="10" width="10.81640625" bestFit="1" customWidth="1"/>
    <col min="11" max="11" width="15.81640625" bestFit="1" customWidth="1"/>
    <col min="12" max="12" width="20.90625" bestFit="1" customWidth="1"/>
  </cols>
  <sheetData>
    <row r="1" spans="1:12">
      <c r="A1" s="1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44" t="s">
        <v>29</v>
      </c>
      <c r="H1" s="2" t="s">
        <v>30</v>
      </c>
      <c r="I1" s="44" t="s">
        <v>31</v>
      </c>
      <c r="J1" s="2" t="s">
        <v>32</v>
      </c>
      <c r="K1" s="2" t="s">
        <v>33</v>
      </c>
      <c r="L1" s="23" t="s">
        <v>34</v>
      </c>
    </row>
    <row r="2" spans="1:12">
      <c r="A2" s="3">
        <v>1</v>
      </c>
      <c r="B2" s="4" t="s">
        <v>35</v>
      </c>
      <c r="C2" s="4" t="s">
        <v>36</v>
      </c>
      <c r="D2" s="4">
        <v>103</v>
      </c>
      <c r="E2" s="4" t="s">
        <v>37</v>
      </c>
      <c r="F2" s="4" t="s">
        <v>38</v>
      </c>
      <c r="G2" s="47">
        <v>1124</v>
      </c>
      <c r="H2" s="4">
        <v>9</v>
      </c>
      <c r="I2" s="47">
        <f t="shared" ref="I2:I13" si="0">G2*H2</f>
        <v>10116</v>
      </c>
      <c r="J2" s="5">
        <v>46078</v>
      </c>
      <c r="K2" s="4" t="str">
        <f t="shared" ref="K2:K13" si="1">IF(G2&gt;=50000,"15%",IF(G2&gt;=25000,"10%",IF(G2&gt;=10000,"5%",IF(G2&gt;=5000,"2%","0%"))))</f>
        <v>0%</v>
      </c>
      <c r="L2" s="22" t="str">
        <f t="shared" ref="L2:L13" si="2">IF(OR(G2&gt;=5000,H2&gt;=50),"YES","NO")</f>
        <v>NO</v>
      </c>
    </row>
    <row r="3" spans="1:12">
      <c r="A3" s="3">
        <v>2</v>
      </c>
      <c r="B3" s="4" t="s">
        <v>39</v>
      </c>
      <c r="C3" s="4" t="s">
        <v>40</v>
      </c>
      <c r="D3" s="4">
        <v>101</v>
      </c>
      <c r="E3" s="4" t="s">
        <v>41</v>
      </c>
      <c r="F3" s="4" t="s">
        <v>42</v>
      </c>
      <c r="G3" s="47">
        <v>53252</v>
      </c>
      <c r="H3" s="4">
        <v>41</v>
      </c>
      <c r="I3" s="47">
        <f t="shared" si="0"/>
        <v>2183332</v>
      </c>
      <c r="J3" s="5">
        <v>46223</v>
      </c>
      <c r="K3" s="4" t="str">
        <f t="shared" si="1"/>
        <v>15%</v>
      </c>
      <c r="L3" s="22" t="str">
        <f t="shared" si="2"/>
        <v>YES</v>
      </c>
    </row>
    <row r="4" spans="1:12">
      <c r="A4" s="3">
        <v>3</v>
      </c>
      <c r="B4" s="4" t="s">
        <v>39</v>
      </c>
      <c r="C4" s="4" t="s">
        <v>43</v>
      </c>
      <c r="D4" s="4">
        <v>104</v>
      </c>
      <c r="E4" s="4" t="s">
        <v>37</v>
      </c>
      <c r="F4" s="4" t="s">
        <v>44</v>
      </c>
      <c r="G4" s="47">
        <v>545</v>
      </c>
      <c r="H4" s="4">
        <v>39</v>
      </c>
      <c r="I4" s="47">
        <f t="shared" si="0"/>
        <v>21255</v>
      </c>
      <c r="J4" s="5">
        <v>46160</v>
      </c>
      <c r="K4" s="4" t="str">
        <f t="shared" si="1"/>
        <v>0%</v>
      </c>
      <c r="L4" s="22" t="str">
        <f t="shared" si="2"/>
        <v>NO</v>
      </c>
    </row>
    <row r="5" spans="1:12">
      <c r="A5" s="3">
        <v>4</v>
      </c>
      <c r="B5" s="4" t="s">
        <v>39</v>
      </c>
      <c r="C5" s="4" t="s">
        <v>40</v>
      </c>
      <c r="D5" s="4">
        <v>101</v>
      </c>
      <c r="E5" s="4" t="s">
        <v>45</v>
      </c>
      <c r="F5" s="4" t="s">
        <v>46</v>
      </c>
      <c r="G5" s="47">
        <v>57584</v>
      </c>
      <c r="H5" s="4">
        <v>57</v>
      </c>
      <c r="I5" s="47">
        <f t="shared" si="0"/>
        <v>3282288</v>
      </c>
      <c r="J5" s="5">
        <v>46177</v>
      </c>
      <c r="K5" s="4" t="str">
        <f t="shared" si="1"/>
        <v>15%</v>
      </c>
      <c r="L5" s="22" t="str">
        <f t="shared" si="2"/>
        <v>YES</v>
      </c>
    </row>
    <row r="6" spans="1:12">
      <c r="A6" s="3">
        <v>5</v>
      </c>
      <c r="B6" s="4" t="s">
        <v>47</v>
      </c>
      <c r="C6" s="4" t="s">
        <v>43</v>
      </c>
      <c r="D6" s="4">
        <v>104</v>
      </c>
      <c r="E6" s="4" t="s">
        <v>48</v>
      </c>
      <c r="F6" s="4" t="s">
        <v>49</v>
      </c>
      <c r="G6" s="47">
        <v>430</v>
      </c>
      <c r="H6" s="4">
        <v>30</v>
      </c>
      <c r="I6" s="47">
        <f t="shared" si="0"/>
        <v>12900</v>
      </c>
      <c r="J6" s="5">
        <v>46159</v>
      </c>
      <c r="K6" s="4" t="str">
        <f t="shared" si="1"/>
        <v>0%</v>
      </c>
      <c r="L6" s="22" t="str">
        <f t="shared" si="2"/>
        <v>NO</v>
      </c>
    </row>
    <row r="7" spans="1:12">
      <c r="A7" s="3">
        <v>6</v>
      </c>
      <c r="B7" s="4" t="s">
        <v>50</v>
      </c>
      <c r="C7" s="4" t="s">
        <v>51</v>
      </c>
      <c r="D7" s="4">
        <v>105</v>
      </c>
      <c r="E7" s="4" t="s">
        <v>45</v>
      </c>
      <c r="F7" s="4" t="s">
        <v>52</v>
      </c>
      <c r="G7" s="47">
        <v>6935</v>
      </c>
      <c r="H7" s="4">
        <v>56</v>
      </c>
      <c r="I7" s="47">
        <f t="shared" si="0"/>
        <v>388360</v>
      </c>
      <c r="J7" s="5">
        <v>46117</v>
      </c>
      <c r="K7" s="4" t="str">
        <f t="shared" si="1"/>
        <v>2%</v>
      </c>
      <c r="L7" s="22" t="str">
        <f t="shared" si="2"/>
        <v>YES</v>
      </c>
    </row>
    <row r="8" spans="1:12">
      <c r="A8" s="3">
        <v>7</v>
      </c>
      <c r="B8" s="4" t="s">
        <v>47</v>
      </c>
      <c r="C8" s="4" t="s">
        <v>53</v>
      </c>
      <c r="D8" s="4">
        <v>102</v>
      </c>
      <c r="E8" s="4" t="s">
        <v>48</v>
      </c>
      <c r="F8" s="4" t="s">
        <v>38</v>
      </c>
      <c r="G8" s="47">
        <v>11209</v>
      </c>
      <c r="H8" s="4">
        <v>50</v>
      </c>
      <c r="I8" s="47">
        <f t="shared" si="0"/>
        <v>560450</v>
      </c>
      <c r="J8" s="5">
        <v>46189</v>
      </c>
      <c r="K8" s="4" t="str">
        <f t="shared" si="1"/>
        <v>5%</v>
      </c>
      <c r="L8" s="22" t="str">
        <f t="shared" si="2"/>
        <v>YES</v>
      </c>
    </row>
    <row r="9" spans="1:12">
      <c r="A9" s="3">
        <v>8</v>
      </c>
      <c r="B9" s="4" t="s">
        <v>39</v>
      </c>
      <c r="C9" s="4" t="s">
        <v>40</v>
      </c>
      <c r="D9" s="4">
        <v>101</v>
      </c>
      <c r="E9" s="4" t="s">
        <v>45</v>
      </c>
      <c r="F9" s="4" t="s">
        <v>42</v>
      </c>
      <c r="G9" s="47">
        <v>54973</v>
      </c>
      <c r="H9" s="4">
        <v>57</v>
      </c>
      <c r="I9" s="47">
        <f t="shared" si="0"/>
        <v>3133461</v>
      </c>
      <c r="J9" s="5">
        <v>46114</v>
      </c>
      <c r="K9" s="4" t="str">
        <f t="shared" si="1"/>
        <v>15%</v>
      </c>
      <c r="L9" s="22" t="str">
        <f t="shared" si="2"/>
        <v>YES</v>
      </c>
    </row>
    <row r="10" spans="1:12">
      <c r="A10" s="3">
        <v>9</v>
      </c>
      <c r="B10" s="4" t="s">
        <v>50</v>
      </c>
      <c r="C10" s="4" t="s">
        <v>51</v>
      </c>
      <c r="D10" s="4">
        <v>105</v>
      </c>
      <c r="E10" s="4" t="s">
        <v>37</v>
      </c>
      <c r="F10" s="4" t="s">
        <v>44</v>
      </c>
      <c r="G10" s="47">
        <v>6822</v>
      </c>
      <c r="H10" s="4">
        <v>6</v>
      </c>
      <c r="I10" s="47">
        <f t="shared" si="0"/>
        <v>40932</v>
      </c>
      <c r="J10" s="5">
        <v>46078</v>
      </c>
      <c r="K10" s="4" t="str">
        <f t="shared" si="1"/>
        <v>2%</v>
      </c>
      <c r="L10" s="22" t="str">
        <f t="shared" si="2"/>
        <v>YES</v>
      </c>
    </row>
    <row r="11" spans="1:12">
      <c r="A11" s="3">
        <v>10</v>
      </c>
      <c r="B11" s="4" t="s">
        <v>50</v>
      </c>
      <c r="C11" s="4" t="s">
        <v>53</v>
      </c>
      <c r="D11" s="4">
        <v>102</v>
      </c>
      <c r="E11" s="4" t="s">
        <v>41</v>
      </c>
      <c r="F11" s="4" t="s">
        <v>46</v>
      </c>
      <c r="G11" s="47">
        <v>11702</v>
      </c>
      <c r="H11" s="4">
        <v>31</v>
      </c>
      <c r="I11" s="47">
        <f t="shared" si="0"/>
        <v>362762</v>
      </c>
      <c r="J11" s="5">
        <v>46159</v>
      </c>
      <c r="K11" s="4" t="str">
        <f t="shared" si="1"/>
        <v>5%</v>
      </c>
      <c r="L11" s="22" t="str">
        <f t="shared" si="2"/>
        <v>YES</v>
      </c>
    </row>
    <row r="12" spans="1:12">
      <c r="A12" s="3">
        <v>11</v>
      </c>
      <c r="B12" s="4" t="s">
        <v>35</v>
      </c>
      <c r="C12" s="4" t="s">
        <v>53</v>
      </c>
      <c r="D12" s="4">
        <v>102</v>
      </c>
      <c r="E12" s="4" t="s">
        <v>41</v>
      </c>
      <c r="F12" s="4" t="s">
        <v>49</v>
      </c>
      <c r="G12" s="47">
        <v>12804</v>
      </c>
      <c r="H12" s="4">
        <v>35</v>
      </c>
      <c r="I12" s="47">
        <f t="shared" si="0"/>
        <v>448140</v>
      </c>
      <c r="J12" s="5">
        <v>46155</v>
      </c>
      <c r="K12" s="4" t="str">
        <f t="shared" si="1"/>
        <v>5%</v>
      </c>
      <c r="L12" s="22" t="str">
        <f t="shared" si="2"/>
        <v>YES</v>
      </c>
    </row>
    <row r="13" spans="1:12">
      <c r="A13" s="6">
        <v>12</v>
      </c>
      <c r="B13" s="7" t="s">
        <v>47</v>
      </c>
      <c r="C13" s="7" t="s">
        <v>43</v>
      </c>
      <c r="D13" s="7">
        <v>104</v>
      </c>
      <c r="E13" s="7" t="s">
        <v>48</v>
      </c>
      <c r="F13" s="7" t="s">
        <v>52</v>
      </c>
      <c r="G13" s="48">
        <v>614</v>
      </c>
      <c r="H13" s="7">
        <v>29</v>
      </c>
      <c r="I13" s="48">
        <f t="shared" si="0"/>
        <v>17806</v>
      </c>
      <c r="J13" s="8">
        <v>46120</v>
      </c>
      <c r="K13" s="7" t="str">
        <f t="shared" si="1"/>
        <v>0%</v>
      </c>
      <c r="L13" s="24" t="str">
        <f t="shared" si="2"/>
        <v>NO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45CC-749E-4423-AA59-13C313BBDECC}">
  <dimension ref="A1:I11"/>
  <sheetViews>
    <sheetView workbookViewId="0">
      <selection activeCell="I1" sqref="I1"/>
    </sheetView>
  </sheetViews>
  <sheetFormatPr defaultRowHeight="14.5"/>
  <cols>
    <col min="1" max="1" width="16.90625" bestFit="1" customWidth="1"/>
    <col min="2" max="2" width="12.7265625" bestFit="1" customWidth="1"/>
    <col min="3" max="3" width="16.1796875" bestFit="1" customWidth="1"/>
    <col min="4" max="4" width="13.1796875" style="46" bestFit="1" customWidth="1"/>
    <col min="5" max="5" width="16.90625" bestFit="1" customWidth="1"/>
    <col min="6" max="6" width="19.1796875" style="46" bestFit="1" customWidth="1"/>
    <col min="7" max="7" width="19.26953125" style="46" bestFit="1" customWidth="1"/>
    <col min="8" max="8" width="17.7265625" style="46" bestFit="1" customWidth="1"/>
    <col min="9" max="9" width="20.7265625" bestFit="1" customWidth="1"/>
  </cols>
  <sheetData>
    <row r="1" spans="1:9">
      <c r="A1" s="1" t="s">
        <v>54</v>
      </c>
      <c r="B1" s="2" t="s">
        <v>55</v>
      </c>
      <c r="C1" s="2" t="s">
        <v>56</v>
      </c>
      <c r="D1" s="44" t="s">
        <v>57</v>
      </c>
      <c r="E1" s="2" t="s">
        <v>58</v>
      </c>
      <c r="F1" s="44" t="s">
        <v>59</v>
      </c>
      <c r="G1" s="44" t="s">
        <v>60</v>
      </c>
      <c r="H1" s="44" t="s">
        <v>61</v>
      </c>
      <c r="I1" s="52" t="s">
        <v>94</v>
      </c>
    </row>
    <row r="2" spans="1:9">
      <c r="A2" s="27">
        <v>1</v>
      </c>
      <c r="B2" s="25" t="s">
        <v>62</v>
      </c>
      <c r="C2" s="25" t="s">
        <v>63</v>
      </c>
      <c r="D2" s="43">
        <v>41649.480000000003</v>
      </c>
      <c r="E2" s="26">
        <v>42295</v>
      </c>
      <c r="F2" s="43">
        <f t="shared" ref="F2:F11" si="0">ROUND(D2,0)</f>
        <v>41649</v>
      </c>
      <c r="G2" s="43">
        <f t="shared" ref="G2:G11" si="1">CEILING(D2,100)</f>
        <v>41700</v>
      </c>
      <c r="H2" s="43">
        <f t="shared" ref="H2:H11" si="2">FLOOR(D2,100)</f>
        <v>41600</v>
      </c>
      <c r="I2" s="28">
        <f t="shared" ref="I2:I11" ca="1" si="3">_xlfn.DAYS(TODAY(), E2)</f>
        <v>3974</v>
      </c>
    </row>
    <row r="3" spans="1:9">
      <c r="A3" s="27">
        <v>2</v>
      </c>
      <c r="B3" s="25" t="s">
        <v>64</v>
      </c>
      <c r="C3" s="25" t="s">
        <v>65</v>
      </c>
      <c r="D3" s="43">
        <v>51116.54</v>
      </c>
      <c r="E3" s="26">
        <v>43103</v>
      </c>
      <c r="F3" s="43">
        <f t="shared" si="0"/>
        <v>51117</v>
      </c>
      <c r="G3" s="43">
        <f t="shared" si="1"/>
        <v>51200</v>
      </c>
      <c r="H3" s="43">
        <f t="shared" si="2"/>
        <v>51100</v>
      </c>
      <c r="I3" s="28">
        <f t="shared" ca="1" si="3"/>
        <v>3166</v>
      </c>
    </row>
    <row r="4" spans="1:9">
      <c r="A4" s="27">
        <v>3</v>
      </c>
      <c r="B4" s="25" t="s">
        <v>66</v>
      </c>
      <c r="C4" s="25" t="s">
        <v>67</v>
      </c>
      <c r="D4" s="43">
        <v>78346.929999999993</v>
      </c>
      <c r="E4" s="26">
        <v>42097</v>
      </c>
      <c r="F4" s="43">
        <f t="shared" si="0"/>
        <v>78347</v>
      </c>
      <c r="G4" s="43">
        <f t="shared" si="1"/>
        <v>78400</v>
      </c>
      <c r="H4" s="43">
        <f t="shared" si="2"/>
        <v>78300</v>
      </c>
      <c r="I4" s="28">
        <f t="shared" ca="1" si="3"/>
        <v>4172</v>
      </c>
    </row>
    <row r="5" spans="1:9">
      <c r="A5" s="27">
        <v>4</v>
      </c>
      <c r="B5" s="25" t="s">
        <v>68</v>
      </c>
      <c r="C5" s="25" t="s">
        <v>69</v>
      </c>
      <c r="D5" s="43">
        <v>89608.94</v>
      </c>
      <c r="E5" s="26">
        <v>43878</v>
      </c>
      <c r="F5" s="43">
        <f t="shared" si="0"/>
        <v>89609</v>
      </c>
      <c r="G5" s="43">
        <f t="shared" si="1"/>
        <v>89700</v>
      </c>
      <c r="H5" s="43">
        <f t="shared" si="2"/>
        <v>89600</v>
      </c>
      <c r="I5" s="28">
        <f t="shared" ca="1" si="3"/>
        <v>2391</v>
      </c>
    </row>
    <row r="6" spans="1:9">
      <c r="A6" s="27">
        <v>5</v>
      </c>
      <c r="B6" s="25" t="s">
        <v>70</v>
      </c>
      <c r="C6" s="25" t="s">
        <v>71</v>
      </c>
      <c r="D6" s="43">
        <v>51566.26</v>
      </c>
      <c r="E6" s="26">
        <v>44669</v>
      </c>
      <c r="F6" s="43">
        <f t="shared" si="0"/>
        <v>51566</v>
      </c>
      <c r="G6" s="43">
        <f t="shared" si="1"/>
        <v>51600</v>
      </c>
      <c r="H6" s="43">
        <f t="shared" si="2"/>
        <v>51500</v>
      </c>
      <c r="I6" s="28">
        <f t="shared" ca="1" si="3"/>
        <v>1600</v>
      </c>
    </row>
    <row r="7" spans="1:9">
      <c r="A7" s="27">
        <v>6</v>
      </c>
      <c r="B7" s="25" t="s">
        <v>72</v>
      </c>
      <c r="C7" s="25" t="s">
        <v>63</v>
      </c>
      <c r="D7" s="43">
        <v>45541.78</v>
      </c>
      <c r="E7" s="26">
        <v>45581</v>
      </c>
      <c r="F7" s="43">
        <f t="shared" si="0"/>
        <v>45542</v>
      </c>
      <c r="G7" s="43">
        <f t="shared" si="1"/>
        <v>45600</v>
      </c>
      <c r="H7" s="43">
        <f t="shared" si="2"/>
        <v>45500</v>
      </c>
      <c r="I7" s="28">
        <f t="shared" ca="1" si="3"/>
        <v>688</v>
      </c>
    </row>
    <row r="8" spans="1:9">
      <c r="A8" s="27">
        <v>7</v>
      </c>
      <c r="B8" s="25" t="s">
        <v>73</v>
      </c>
      <c r="C8" s="25" t="s">
        <v>65</v>
      </c>
      <c r="D8" s="43">
        <v>51850.84</v>
      </c>
      <c r="E8" s="26">
        <v>44749</v>
      </c>
      <c r="F8" s="43">
        <f t="shared" si="0"/>
        <v>51851</v>
      </c>
      <c r="G8" s="43">
        <f t="shared" si="1"/>
        <v>51900</v>
      </c>
      <c r="H8" s="43">
        <f t="shared" si="2"/>
        <v>51800</v>
      </c>
      <c r="I8" s="28">
        <f t="shared" ca="1" si="3"/>
        <v>1520</v>
      </c>
    </row>
    <row r="9" spans="1:9">
      <c r="A9" s="27">
        <v>8</v>
      </c>
      <c r="B9" s="25" t="s">
        <v>74</v>
      </c>
      <c r="C9" s="25" t="s">
        <v>67</v>
      </c>
      <c r="D9" s="43">
        <v>43376.57</v>
      </c>
      <c r="E9" s="26">
        <v>44361</v>
      </c>
      <c r="F9" s="43">
        <f t="shared" si="0"/>
        <v>43377</v>
      </c>
      <c r="G9" s="43">
        <f t="shared" si="1"/>
        <v>43400</v>
      </c>
      <c r="H9" s="43">
        <f t="shared" si="2"/>
        <v>43300</v>
      </c>
      <c r="I9" s="28">
        <f t="shared" ca="1" si="3"/>
        <v>1908</v>
      </c>
    </row>
    <row r="10" spans="1:9">
      <c r="A10" s="27">
        <v>9</v>
      </c>
      <c r="B10" s="25" t="s">
        <v>75</v>
      </c>
      <c r="C10" s="25" t="s">
        <v>69</v>
      </c>
      <c r="D10" s="43">
        <v>61432.83</v>
      </c>
      <c r="E10" s="26">
        <v>42329</v>
      </c>
      <c r="F10" s="43">
        <f t="shared" si="0"/>
        <v>61433</v>
      </c>
      <c r="G10" s="43">
        <f t="shared" si="1"/>
        <v>61500</v>
      </c>
      <c r="H10" s="43">
        <f t="shared" si="2"/>
        <v>61400</v>
      </c>
      <c r="I10" s="28">
        <f t="shared" ca="1" si="3"/>
        <v>3940</v>
      </c>
    </row>
    <row r="11" spans="1:9">
      <c r="A11" s="29">
        <v>10</v>
      </c>
      <c r="B11" s="30" t="s">
        <v>76</v>
      </c>
      <c r="C11" s="30" t="s">
        <v>71</v>
      </c>
      <c r="D11" s="45">
        <v>94097.42</v>
      </c>
      <c r="E11" s="31">
        <v>42382</v>
      </c>
      <c r="F11" s="45">
        <f t="shared" si="0"/>
        <v>94097</v>
      </c>
      <c r="G11" s="45">
        <f t="shared" si="1"/>
        <v>94100</v>
      </c>
      <c r="H11" s="45">
        <f t="shared" si="2"/>
        <v>94000</v>
      </c>
      <c r="I11" s="32">
        <f t="shared" ca="1" si="3"/>
        <v>3887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37F74-1112-4FEE-8265-37F18EA6B46E}">
  <dimension ref="A1:H19"/>
  <sheetViews>
    <sheetView tabSelected="1" workbookViewId="0">
      <selection activeCell="H5" sqref="H5"/>
    </sheetView>
  </sheetViews>
  <sheetFormatPr defaultRowHeight="14.5"/>
  <cols>
    <col min="1" max="1" width="22.6328125" style="33" bestFit="1" customWidth="1"/>
    <col min="2" max="2" width="15.36328125" style="21" bestFit="1" customWidth="1"/>
    <col min="4" max="4" width="21.1796875" style="35" bestFit="1" customWidth="1"/>
    <col min="5" max="5" width="12.7265625" style="21" bestFit="1" customWidth="1"/>
    <col min="7" max="7" width="15.36328125" style="35" bestFit="1" customWidth="1"/>
    <col min="8" max="8" width="15.6328125" style="34" bestFit="1" customWidth="1"/>
  </cols>
  <sheetData>
    <row r="1" spans="1:8">
      <c r="A1" s="36" t="s">
        <v>77</v>
      </c>
      <c r="B1" s="37">
        <f>COUNTIFS('Students grade'!D2:D13, "&gt;50")</f>
        <v>12</v>
      </c>
      <c r="D1" s="41" t="s">
        <v>81</v>
      </c>
      <c r="E1" s="37">
        <v>3</v>
      </c>
      <c r="G1" s="40" t="s">
        <v>88</v>
      </c>
      <c r="H1" s="39" t="s">
        <v>89</v>
      </c>
    </row>
    <row r="2" spans="1:8">
      <c r="A2" s="36" t="s">
        <v>78</v>
      </c>
      <c r="B2" s="37">
        <f>AVERAGEIFS('Students grade'!F2:F13, 'Students grade'!F2:F13, "&gt;60")</f>
        <v>80.45</v>
      </c>
      <c r="D2" s="40" t="s">
        <v>82</v>
      </c>
      <c r="E2" s="37" t="str">
        <f>VLOOKUP(E1, 'Students grade'!$A$2:$B$13, 2, FALSE)</f>
        <v>Meera Kapoor</v>
      </c>
      <c r="G2" s="40" t="s">
        <v>90</v>
      </c>
      <c r="H2" s="53">
        <f ca="1">SUM(INDIRECT(H1))</f>
        <v>10461802</v>
      </c>
    </row>
    <row r="3" spans="1:8">
      <c r="A3" s="38" t="s">
        <v>79</v>
      </c>
      <c r="B3" s="42">
        <f>SUMIFS('Sales Data'!I2:I13, 'Sales Data'!B2:B13, "North", 'Sales Data'!C2:C13, "Laptop")</f>
        <v>8599081</v>
      </c>
    </row>
    <row r="4" spans="1:8">
      <c r="D4" s="40" t="s">
        <v>83</v>
      </c>
      <c r="E4" s="37">
        <v>2</v>
      </c>
      <c r="G4" s="40" t="s">
        <v>91</v>
      </c>
      <c r="H4" s="39">
        <v>3</v>
      </c>
    </row>
    <row r="5" spans="1:8">
      <c r="A5" s="38" t="s">
        <v>80</v>
      </c>
      <c r="B5" s="37"/>
      <c r="D5" s="41" t="s">
        <v>84</v>
      </c>
      <c r="E5" s="37" t="str">
        <f>INDEX('Employee Data'!C2:C11, MATCH(E4, 'Employee Data'!A2:A11, 0))</f>
        <v>Marketing</v>
      </c>
      <c r="G5" s="40" t="s">
        <v>92</v>
      </c>
      <c r="H5" s="42">
        <f ca="1">SUM(OFFSET('Sales Data'!I13, -(H4-1), 0, H4, 1))</f>
        <v>828708</v>
      </c>
    </row>
    <row r="6" spans="1:8">
      <c r="A6" s="40" cm="1">
        <f t="array" ref="A6:B11">_xlfn._xlws.FILTER('Students grade'!A2:B13,'Students grade'!D2:D13&gt;80)</f>
        <v>1</v>
      </c>
      <c r="B6" s="37" t="str">
        <v>Ishita Rathod</v>
      </c>
      <c r="D6" s="40" t="s">
        <v>85</v>
      </c>
      <c r="E6" s="54">
        <f>_xlfn.XLOOKUP(E4, 'Employee Data'!A2:A11, 'Employee Data'!D2:D11, "Not Found")</f>
        <v>51116.54</v>
      </c>
    </row>
    <row r="7" spans="1:8">
      <c r="A7" s="36">
        <v>2</v>
      </c>
      <c r="B7" s="37" t="str">
        <v>Ishaan Solanki</v>
      </c>
    </row>
    <row r="8" spans="1:8">
      <c r="A8" s="36">
        <v>3</v>
      </c>
      <c r="B8" s="37" t="str">
        <v>Meera Kapoor</v>
      </c>
      <c r="D8" s="40" t="s">
        <v>86</v>
      </c>
      <c r="E8" s="37" t="s">
        <v>40</v>
      </c>
    </row>
    <row r="9" spans="1:8">
      <c r="A9" s="36">
        <v>4</v>
      </c>
      <c r="B9" s="37" t="str">
        <v>Ritika Bhatt</v>
      </c>
      <c r="D9" s="40" t="s">
        <v>87</v>
      </c>
      <c r="E9" s="37">
        <f>_xlfn.XMATCH(E8, 'Sales Data'!C2:C13)</f>
        <v>2</v>
      </c>
    </row>
    <row r="10" spans="1:8">
      <c r="A10" s="36">
        <v>7</v>
      </c>
      <c r="B10" s="37" t="str">
        <v>Tanvi Nair</v>
      </c>
    </row>
    <row r="11" spans="1:8">
      <c r="A11" s="36">
        <v>10</v>
      </c>
      <c r="B11" s="37" t="str">
        <v>Sneha Deshmukh</v>
      </c>
      <c r="D11" s="40" t="s">
        <v>95</v>
      </c>
      <c r="E11" s="37">
        <v>101</v>
      </c>
    </row>
    <row r="12" spans="1:8">
      <c r="D12" s="40" t="s">
        <v>96</v>
      </c>
      <c r="E12" s="54">
        <f>VLOOKUP(E11, 'Sales Data'!$D$2:$G$13, 4, FALSE)</f>
        <v>53252</v>
      </c>
    </row>
    <row r="14" spans="1:8">
      <c r="D14" s="40" t="s">
        <v>97</v>
      </c>
      <c r="E14" s="37" t="s">
        <v>45</v>
      </c>
    </row>
    <row r="15" spans="1:8">
      <c r="D15" s="40" t="s">
        <v>98</v>
      </c>
      <c r="E15" s="37" t="s">
        <v>46</v>
      </c>
    </row>
    <row r="16" spans="1:8">
      <c r="D16" s="40" t="s">
        <v>99</v>
      </c>
      <c r="E16" s="54" cm="1">
        <f t="array" ref="E16">INDEX('Sales Data'!$I$2:$I$13, MATCH(E14&amp;E15, 'Sales Data'!$E$2:$E$13&amp;'Sales Data'!$F$2:$F$13, 0))</f>
        <v>3282288</v>
      </c>
    </row>
    <row r="18" spans="4:5">
      <c r="D18" s="40" t="s">
        <v>100</v>
      </c>
      <c r="E18" s="37" t="s">
        <v>37</v>
      </c>
    </row>
    <row r="19" spans="4:5">
      <c r="D19" s="40" t="s">
        <v>101</v>
      </c>
      <c r="E19" s="54">
        <f>_xlfn.XLOOKUP(E18, 'Sales Data'!$E$2:$E$13, 'Sales Data'!$I$2:$I$13, "Not Found")</f>
        <v>10116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 grade</vt:lpstr>
      <vt:lpstr>Sales Data</vt:lpstr>
      <vt:lpstr>Employee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Varma</dc:creator>
  <cp:lastModifiedBy>tejas Varma</cp:lastModifiedBy>
  <dcterms:created xsi:type="dcterms:W3CDTF">2026-09-04T05:25:02Z</dcterms:created>
  <dcterms:modified xsi:type="dcterms:W3CDTF">2026-09-04T08:28:05Z</dcterms:modified>
</cp:coreProperties>
</file>